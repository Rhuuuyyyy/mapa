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backupFile="1"/>
  <mc:AlternateContent xmlns:mc="http://schemas.openxmlformats.org/markup-compatibility/2006">
    <mc:Choice Requires="x15">
      <x15ac:absPath xmlns:x15ac="http://schemas.microsoft.com/office/spreadsheetml/2010/11/ac" url="A:\Técnico\Relatórios - Instituições\MAPA\2025\3º Trimestre\"/>
    </mc:Choice>
  </mc:AlternateContent>
  <xr:revisionPtr revIDLastSave="0" documentId="13_ncr:1_{3788DE93-2744-4DBA-8C92-62D4BA0D631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ert. Min. (Mat.prima)" sheetId="1" r:id="rId1"/>
    <sheet name="banco" sheetId="2" state="hidden" r:id="rId2"/>
  </sheets>
  <definedNames>
    <definedName name="_xlnm.Print_Area" localSheetId="0">'Fert. Min. (Mat.prima)'!$A$1:$AV$62</definedName>
    <definedName name="destino_rev">banco!$L$4:$L$5</definedName>
    <definedName name="Devol">banco!$I$4:$I$8</definedName>
    <definedName name="tipo">banco!$B$3:$B$14</definedName>
    <definedName name="trimestre">banco!$G$3:$G$7</definedName>
    <definedName name="unidade">banco!$E$3:$E$5</definedName>
  </definedNames>
  <calcPr calcId="191029"/>
</workbook>
</file>

<file path=xl/calcChain.xml><?xml version="1.0" encoding="utf-8"?>
<calcChain xmlns="http://schemas.openxmlformats.org/spreadsheetml/2006/main">
  <c r="Y45" i="1" l="1"/>
  <c r="Y44" i="1"/>
  <c r="Y4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4" authorId="0" shapeId="0" xr:uid="{00000000-0006-0000-0000-000001000000}">
      <text>
        <r>
          <rPr>
            <sz val="8"/>
            <color indexed="8"/>
            <rFont val="Tahoma"/>
            <family val="2"/>
          </rPr>
          <t>Especificar inserindo o nome do material e nome do produto</t>
        </r>
      </text>
    </comment>
    <comment ref="E14" authorId="0" shapeId="0" xr:uid="{00000000-0006-0000-0000-000002000000}">
      <text>
        <r>
          <rPr>
            <sz val="8"/>
            <color indexed="8"/>
            <rFont val="Tahoma"/>
            <family val="2"/>
          </rPr>
          <t>Quando se tratar de produto "sob encomenda" informar esta expressão neste campo</t>
        </r>
      </text>
    </comment>
    <comment ref="H14" authorId="0" shapeId="0" xr:uid="{00000000-0006-0000-0000-000003000000}">
      <text>
        <r>
          <rPr>
            <sz val="8"/>
            <color indexed="8"/>
            <rFont val="Tahoma"/>
            <family val="2"/>
          </rPr>
          <t>Macronutrientes secundários e micronutrientes referem-se aos teores totais.</t>
        </r>
      </text>
    </comment>
    <comment ref="J16" authorId="0" shapeId="0" xr:uid="{00000000-0006-0000-0000-000004000000}">
      <text>
        <r>
          <rPr>
            <sz val="8"/>
            <color indexed="8"/>
            <rFont val="Tahoma"/>
            <family val="2"/>
          </rPr>
          <t xml:space="preserve">Corresponde ao teor de P2O5 soluvel em: CNA+água; ác.cítrico ou água.
</t>
        </r>
        <r>
          <rPr>
            <sz val="10"/>
            <color indexed="8"/>
            <rFont val="Arial"/>
            <family val="2"/>
          </rPr>
          <t xml:space="preserve">
</t>
        </r>
        <r>
          <rPr>
            <sz val="8"/>
            <color indexed="8"/>
            <rFont val="Tahoma"/>
            <family val="2"/>
          </rPr>
          <t xml:space="preserve">Se tratar de fertilizante para aplicação via solo, o P2O5 soluvel corresponde a solubilidade em CNA+água ou ác.cítrico;
</t>
        </r>
        <r>
          <rPr>
            <sz val="10"/>
            <color indexed="8"/>
            <rFont val="Arial"/>
            <family val="2"/>
          </rPr>
          <t xml:space="preserve">
</t>
        </r>
        <r>
          <rPr>
            <sz val="8"/>
            <color indexed="8"/>
            <rFont val="Tahoma"/>
            <family val="2"/>
          </rPr>
          <t>Se tratar de fertilizante para aplicação em hidroponia, fertirrigação ou foliar, o teor P2O5 soluvel corresponde a solubilidade em água.</t>
        </r>
      </text>
    </comment>
    <comment ref="AD16" authorId="0" shapeId="0" xr:uid="{00000000-0006-0000-0000-000005000000}">
      <text>
        <r>
          <rPr>
            <sz val="8"/>
            <color indexed="8"/>
            <rFont val="Tahoma"/>
            <family val="2"/>
          </rPr>
          <t>Inserir a quantidade de matéria-prima adquirida no mercado nacional no trimestre</t>
        </r>
      </text>
    </comment>
    <comment ref="AH16" authorId="0" shapeId="0" xr:uid="{00000000-0006-0000-0000-000006000000}">
      <text>
        <r>
          <rPr>
            <sz val="8"/>
            <color indexed="8"/>
            <rFont val="Tahoma"/>
            <family val="2"/>
          </rPr>
          <t>Inserir a quantidade de matéria-prima importado no trimestre</t>
        </r>
      </text>
    </comment>
    <comment ref="AK16" authorId="0" shapeId="0" xr:uid="{00000000-0006-0000-0000-000007000000}">
      <text>
        <r>
          <rPr>
            <sz val="8"/>
            <color indexed="8"/>
            <rFont val="Tahoma"/>
            <family val="2"/>
          </rPr>
          <t>Inserir o nome do país de origem da matéria-prima, no caso de importado</t>
        </r>
      </text>
    </comment>
    <comment ref="AL16" authorId="0" shapeId="0" xr:uid="{00000000-0006-0000-0000-000008000000}">
      <text>
        <r>
          <rPr>
            <sz val="8"/>
            <color indexed="8"/>
            <rFont val="Tahoma"/>
            <family val="2"/>
          </rPr>
          <t>Inserir o quantitativo da matéria-prima usado na produção, no trimestre</t>
        </r>
      </text>
    </comment>
    <comment ref="AO16" authorId="0" shapeId="0" xr:uid="{00000000-0006-0000-0000-000009000000}">
      <text>
        <r>
          <rPr>
            <sz val="8"/>
            <color indexed="8"/>
            <rFont val="Tahoma"/>
            <family val="2"/>
          </rPr>
          <t>Inserir o quantitativo da matéria-prima vendido como produto, no trimestre</t>
        </r>
      </text>
    </comment>
    <comment ref="Y17" authorId="0" shapeId="0" xr:uid="{00000000-0006-0000-0000-00000B000000}">
      <text>
        <r>
          <rPr>
            <sz val="8"/>
            <color indexed="8"/>
            <rFont val="Tahoma"/>
            <family val="2"/>
          </rPr>
          <t>Selecionar a unidade do produto</t>
        </r>
      </text>
    </comment>
    <comment ref="AH17" authorId="0" shapeId="0" xr:uid="{00000000-0006-0000-0000-00000D000000}">
      <text>
        <r>
          <rPr>
            <sz val="8"/>
            <color indexed="8"/>
            <rFont val="Tahoma"/>
            <family val="2"/>
          </rPr>
          <t>Inserir a quantidade de matéria-prima importado no trimestre</t>
        </r>
      </text>
    </comment>
    <comment ref="AK17" authorId="0" shapeId="0" xr:uid="{00000000-0006-0000-0000-00000E000000}">
      <text>
        <r>
          <rPr>
            <sz val="8"/>
            <color indexed="8"/>
            <rFont val="Tahoma"/>
            <family val="2"/>
          </rPr>
          <t>Inserir o nome do país de origem da matéria-prima, no caso de importado</t>
        </r>
      </text>
    </comment>
    <comment ref="AO17" authorId="0" shapeId="0" xr:uid="{00000000-0006-0000-0000-000010000000}">
      <text>
        <r>
          <rPr>
            <sz val="8"/>
            <color indexed="8"/>
            <rFont val="Tahoma"/>
            <family val="2"/>
          </rPr>
          <t>Inserir o quantitativo da matéria-prima vendido como produto, no trimestre</t>
        </r>
      </text>
    </comment>
    <comment ref="AP17" authorId="0" shapeId="0" xr:uid="{00000000-0006-0000-0000-000011000000}">
      <text>
        <r>
          <rPr>
            <sz val="8"/>
            <color indexed="8"/>
            <rFont val="Tahoma"/>
            <family val="2"/>
          </rPr>
          <t>Informar a qtd. de mat.prima que acarretou aumento no estoque. Ex.: devolução da mat.prima vendida como produto com condição de revenda</t>
        </r>
      </text>
    </comment>
    <comment ref="AQ17" authorId="0" shapeId="0" xr:uid="{00000000-0006-0000-0000-000012000000}">
      <text>
        <r>
          <rPr>
            <sz val="8"/>
            <color indexed="8"/>
            <rFont val="Tahoma"/>
            <family val="2"/>
          </rPr>
          <t>Discriminar a entrada que justifique a qtd. de mat. prima da coluna anterior. Ex.: devolução da mat.prima vendida como produto com condição de revenda.</t>
        </r>
      </text>
    </comment>
    <comment ref="AR17" authorId="0" shapeId="0" xr:uid="{00000000-0006-0000-0000-000013000000}">
      <text>
        <r>
          <rPr>
            <sz val="8"/>
            <color indexed="8"/>
            <rFont val="Tahoma"/>
            <family val="2"/>
          </rPr>
          <t>Informar a qtd. de mat. prima que acarretou diminuição no estoque. Ex.: quebras</t>
        </r>
      </text>
    </comment>
    <comment ref="AS17" authorId="0" shapeId="0" xr:uid="{00000000-0006-0000-0000-000014000000}">
      <text>
        <r>
          <rPr>
            <sz val="8"/>
            <color indexed="8"/>
            <rFont val="Tahoma"/>
            <family val="2"/>
          </rPr>
          <t>Discriminar a saida que justifique a qtd. de mat. prima da coluna anterior. Ex.: quebras por motivo tal.</t>
        </r>
      </text>
    </comment>
    <comment ref="Y18" authorId="0" shapeId="0" xr:uid="{00000000-0006-0000-0000-000015000000}">
      <text>
        <r>
          <rPr>
            <sz val="8"/>
            <color indexed="8"/>
            <rFont val="Tahoma"/>
            <family val="2"/>
          </rPr>
          <t>Selecionar a unidade do produto</t>
        </r>
      </text>
    </comment>
    <comment ref="Y19" authorId="0" shapeId="0" xr:uid="{00000000-0006-0000-0000-000016000000}">
      <text>
        <r>
          <rPr>
            <sz val="8"/>
            <color indexed="8"/>
            <rFont val="Tahoma"/>
            <family val="2"/>
          </rPr>
          <t>Selecionar a unidade do produto</t>
        </r>
      </text>
    </comment>
    <comment ref="Y20" authorId="0" shapeId="0" xr:uid="{ABEA93E5-A0FD-4F3B-935A-994B544922EF}">
      <text>
        <r>
          <rPr>
            <sz val="8"/>
            <color indexed="8"/>
            <rFont val="Tahoma"/>
            <family val="2"/>
          </rPr>
          <t>Selecionar a unidade do produto</t>
        </r>
      </text>
    </comment>
    <comment ref="Y21" authorId="0" shapeId="0" xr:uid="{8619CD2B-58E2-4535-9AAD-E2BB6837021D}">
      <text>
        <r>
          <rPr>
            <sz val="8"/>
            <color indexed="8"/>
            <rFont val="Tahoma"/>
            <family val="2"/>
          </rPr>
          <t>Selecionar a unidade do produto</t>
        </r>
      </text>
    </comment>
    <comment ref="Y22" authorId="0" shapeId="0" xr:uid="{829B5BB5-43AD-4032-99FC-E731E34CF2D9}">
      <text>
        <r>
          <rPr>
            <sz val="8"/>
            <color indexed="8"/>
            <rFont val="Tahoma"/>
            <family val="2"/>
          </rPr>
          <t>Selecionar a unidade do produto</t>
        </r>
      </text>
    </comment>
  </commentList>
</comments>
</file>

<file path=xl/sharedStrings.xml><?xml version="1.0" encoding="utf-8"?>
<sst xmlns="http://schemas.openxmlformats.org/spreadsheetml/2006/main" count="309" uniqueCount="175">
  <si>
    <t>MINISTÉRIO DA AGRICULTURA, PECUÁRIA E ABASTECIMENTO – MAPA</t>
  </si>
  <si>
    <t>COORDENAÇÃO DE FERTILIZANTES, INOCULANTES E CORRETIVOS - CFIC</t>
  </si>
  <si>
    <t xml:space="preserve">Mapa Trimestral de Produção, Importação e Exportação </t>
  </si>
  <si>
    <t>PARA ESTABELECIMENTOS PRODUTORES, IMPORTADORES E EXPORTADORES DE FERTILIZANTES MINERAIS ( Matéria-Prima )</t>
  </si>
  <si>
    <t>Estabelecimento:</t>
  </si>
  <si>
    <t>SOLO VIVO INDUSTRIA E COMERCIO DE FERTILIZANTES LTDA</t>
  </si>
  <si>
    <t>Registro nº:</t>
  </si>
  <si>
    <t>UF:</t>
  </si>
  <si>
    <t>PR</t>
  </si>
  <si>
    <t>Endereço:</t>
  </si>
  <si>
    <t>Rodovia do Xisto BR 476 Km 165, S/N  Bairro Guajuvira de Cima</t>
  </si>
  <si>
    <t>CNPJ:</t>
  </si>
  <si>
    <t>82.601.345/0001-65</t>
  </si>
  <si>
    <t>E-Mail:</t>
  </si>
  <si>
    <t>tecnico@solovivo.com.br</t>
  </si>
  <si>
    <t>Fone:</t>
  </si>
  <si>
    <t>(41)3614-3000</t>
  </si>
  <si>
    <t>Trimestre:</t>
  </si>
  <si>
    <t>II (Segundo)</t>
  </si>
  <si>
    <t>Ano:</t>
  </si>
  <si>
    <t>Nome  e CPF do responsável pelo preenchimento:</t>
  </si>
  <si>
    <t>Rodrigo Feijó Segalla - Cpf - 076.728.329-56</t>
  </si>
  <si>
    <t>Local e data:</t>
  </si>
  <si>
    <t>MATERIAL/ PRODUTO</t>
  </si>
  <si>
    <t>Nº REGISTRO DE PRODUTO/ AUTORIZAÇÃO</t>
  </si>
  <si>
    <t>GARANTIAS (NUTRIENTES) - em %</t>
  </si>
  <si>
    <t>Unidade</t>
  </si>
  <si>
    <t>Estoque Inicial</t>
  </si>
  <si>
    <t>QUANTIDADES DE MATÉRIAS-PRIMAS 
Uso na fabricação de fertilizantes e Vendas como Produto Acabado</t>
  </si>
  <si>
    <t>OUTRAS ENTRADAS</t>
  </si>
  <si>
    <t>OUTRAS SAÍDAS</t>
  </si>
  <si>
    <t>Estoque Final no Trimestre</t>
  </si>
  <si>
    <t>N</t>
  </si>
  <si>
    <r>
      <t>P</t>
    </r>
    <r>
      <rPr>
        <b/>
        <sz val="5"/>
        <color indexed="8"/>
        <rFont val="Arial Narrow"/>
        <family val="2"/>
      </rPr>
      <t>2</t>
    </r>
    <r>
      <rPr>
        <b/>
        <sz val="8"/>
        <color indexed="8"/>
        <rFont val="Arial Narrow"/>
        <family val="2"/>
      </rPr>
      <t>0</t>
    </r>
    <r>
      <rPr>
        <b/>
        <sz val="5"/>
        <color indexed="8"/>
        <rFont val="Arial Narrow"/>
        <family val="2"/>
      </rPr>
      <t xml:space="preserve">5 </t>
    </r>
  </si>
  <si>
    <r>
      <t>K</t>
    </r>
    <r>
      <rPr>
        <b/>
        <sz val="5"/>
        <color indexed="8"/>
        <rFont val="Arial Narrow"/>
        <family val="2"/>
      </rPr>
      <t>2</t>
    </r>
    <r>
      <rPr>
        <b/>
        <sz val="8"/>
        <color indexed="8"/>
        <rFont val="Arial Narrow"/>
        <family val="2"/>
      </rPr>
      <t>O</t>
    </r>
  </si>
  <si>
    <t>Ca</t>
  </si>
  <si>
    <t>Mg</t>
  </si>
  <si>
    <t>S</t>
  </si>
  <si>
    <t>B</t>
  </si>
  <si>
    <t>Cl</t>
  </si>
  <si>
    <t>Co</t>
  </si>
  <si>
    <t>Cu</t>
  </si>
  <si>
    <t>Fe</t>
  </si>
  <si>
    <t>Mn</t>
  </si>
  <si>
    <t>Mo</t>
  </si>
  <si>
    <t>Ni</t>
  </si>
  <si>
    <t>Si</t>
  </si>
  <si>
    <t>Zn</t>
  </si>
  <si>
    <t>COMPRAS/ENTRADAS</t>
  </si>
  <si>
    <t>DESTINAÇÃO</t>
  </si>
  <si>
    <t>Total</t>
  </si>
  <si>
    <t>Solúvel</t>
  </si>
  <si>
    <t>NACIONAL</t>
  </si>
  <si>
    <t>NOME DA EMPRESA</t>
  </si>
  <si>
    <t>IMPORTADO</t>
  </si>
  <si>
    <t>País de origem</t>
  </si>
  <si>
    <t>Uso na Produção</t>
  </si>
  <si>
    <t>Venda como Produto</t>
  </si>
  <si>
    <t>Quantidade</t>
  </si>
  <si>
    <t>Discriminação</t>
  </si>
  <si>
    <t>Tonelada</t>
  </si>
  <si>
    <t>ITERUM COMERCIO INTERNACIONAL LTDA</t>
  </si>
  <si>
    <t>tipo</t>
  </si>
  <si>
    <t>unidade</t>
  </si>
  <si>
    <t>trimestre</t>
  </si>
  <si>
    <t>Devolução-destinação</t>
  </si>
  <si>
    <t>APLICAÇÃO VIA SOLO</t>
  </si>
  <si>
    <t>I (Primeiro)</t>
  </si>
  <si>
    <t>Reetiquetagem c/análise</t>
  </si>
  <si>
    <t>Mineral Simples</t>
  </si>
  <si>
    <t>1.000 L</t>
  </si>
  <si>
    <t>Reprocessamento</t>
  </si>
  <si>
    <t>Outras</t>
  </si>
  <si>
    <t>Mineral Misto</t>
  </si>
  <si>
    <t>III (Terceiro)</t>
  </si>
  <si>
    <t>Varredura</t>
  </si>
  <si>
    <t>Mineral Complexo</t>
  </si>
  <si>
    <t>IV (Quarto)</t>
  </si>
  <si>
    <t>Destruição</t>
  </si>
  <si>
    <t>OUTRAS APLICAÇÕES</t>
  </si>
  <si>
    <t>Fert.Foliar</t>
  </si>
  <si>
    <t>Fert. Hidroponia</t>
  </si>
  <si>
    <t>Fertirrigação</t>
  </si>
  <si>
    <t>Para Sementes</t>
  </si>
  <si>
    <t>Pronto Uso</t>
  </si>
  <si>
    <t>VARREDURA</t>
  </si>
  <si>
    <t>NUTRIENTES INDÚSTRIA DE FERTILIZANTES</t>
  </si>
  <si>
    <t>Nome: Rodrigo Feijó Segalla</t>
  </si>
  <si>
    <t>CPF: 076.728.329-56</t>
  </si>
  <si>
    <t>PR 001955-0.000001</t>
  </si>
  <si>
    <t>001309-9</t>
  </si>
  <si>
    <t>SP 002644-1 000001</t>
  </si>
  <si>
    <t>PR 000712-9.000161</t>
  </si>
  <si>
    <t>PR 000328-0 000082</t>
  </si>
  <si>
    <t>JUAREZ GUZMAN S.R.L</t>
  </si>
  <si>
    <t>PR 000712-9.000171</t>
  </si>
  <si>
    <t>NPS - MINERAL COMPLEXO</t>
  </si>
  <si>
    <t>NP - MINERAL COMPLEXO</t>
  </si>
  <si>
    <t>PR 001309.9 000577</t>
  </si>
  <si>
    <t>URÉIA - MINERAL SIMPLES</t>
  </si>
  <si>
    <t>CLORETO DE POTÁSSIO - MINERAL SIMPLES</t>
  </si>
  <si>
    <t>SUPERFOSFATO SIMPLES - MINERAL SIMPLES</t>
  </si>
  <si>
    <t>SUPERFOSFATO TRIPLO - MINERAL SIMPLES</t>
  </si>
  <si>
    <t>SULFATO DE AMÔNIO GR - MINERAL SIMPLES</t>
  </si>
  <si>
    <t>CARBONATO DE CALCIO E MAGNÉSIO - MINERAL SIMPLES</t>
  </si>
  <si>
    <t>FOSFATO NATURAL REATIVO - MINERAL SIMPLES</t>
  </si>
  <si>
    <t>Ulexita STD - MINERAL SIMPLES</t>
  </si>
  <si>
    <t>Ulexita GR - MINERAL SIMPLES</t>
  </si>
  <si>
    <t>NITRATO DE AMÔNIO - MINERAL SIMPLES</t>
  </si>
  <si>
    <t>PR 000328-0 000025</t>
  </si>
  <si>
    <t>MT 001285-8.000059</t>
  </si>
  <si>
    <t>PR 000328-0 000019</t>
  </si>
  <si>
    <t>PR-05649 10244-5</t>
  </si>
  <si>
    <t>NITROBRAS FERTILIZANTES LTDA</t>
  </si>
  <si>
    <t>BRFÉRTIL S.A</t>
  </si>
  <si>
    <t>PR 001079-0.000049</t>
  </si>
  <si>
    <t>FERTILIZE - AGRICOLA LTDA</t>
  </si>
  <si>
    <t>PR 001390-0.000002</t>
  </si>
  <si>
    <t>PR 001377-3.000097</t>
  </si>
  <si>
    <t>PR 001390-0.000004</t>
  </si>
  <si>
    <t>RT COMERCIO IMPORTACAO E EXPORTACAO DE GRAOS E FERTILIZANTES LTDA</t>
  </si>
  <si>
    <t>MT 000251-8.000060</t>
  </si>
  <si>
    <t>PR 001079-0.000041</t>
  </si>
  <si>
    <t>MT 000251-8.000109</t>
  </si>
  <si>
    <t>NPK FERTILIZANTES LTDA</t>
  </si>
  <si>
    <t>FOSFATO MONOAMÔNICO MAP - MINERAL SIMPLES</t>
  </si>
  <si>
    <t>PR 001079-0.000058</t>
  </si>
  <si>
    <t>PR 001390-0.000007</t>
  </si>
  <si>
    <t>INPEK FERTILIZANTES S.A</t>
  </si>
  <si>
    <t>PR 002276-4.000039</t>
  </si>
  <si>
    <t>FERTIFER IMPORTADORA E EXPORTADORA DE PRODUTOS GERAIS LTDA</t>
  </si>
  <si>
    <t>PR 001377-3.000098</t>
  </si>
  <si>
    <t>PR 000328-0.000008</t>
  </si>
  <si>
    <t>PR 000328-0 000080</t>
  </si>
  <si>
    <t>PR 001760-7.000003</t>
  </si>
  <si>
    <t>MT 000251-8.000040</t>
  </si>
  <si>
    <t>PR 001079-0.000159</t>
  </si>
  <si>
    <t>PR 000551-7.000002</t>
  </si>
  <si>
    <t>ALL FERTILIZANTES DO BRASIL LTDA</t>
  </si>
  <si>
    <t>PR 000712-9.000160</t>
  </si>
  <si>
    <t>SP 002965-3 000006</t>
  </si>
  <si>
    <t>CMOC BRASIL MINERACAO, INDUSTRIA E PARTICIPACOES LTDA.</t>
  </si>
  <si>
    <t>PR 001357-9.000040</t>
  </si>
  <si>
    <t>COMERCIO E IMPORTACAO DE FERTILIZANTES CAMPOS NOVOS LTDA</t>
  </si>
  <si>
    <t>PR 001428-1.000014</t>
  </si>
  <si>
    <t>DREYMOOR BRASIL COMERCIO DE FERTILIZANTES LTDA</t>
  </si>
  <si>
    <t>PR 001390-0.000006</t>
  </si>
  <si>
    <t>PR 000915-6.000005</t>
  </si>
  <si>
    <t>FOSFATO DIAMÔNICO MAP - MINERAL SIMPLES</t>
  </si>
  <si>
    <t>PR 000328-0 000073</t>
  </si>
  <si>
    <t>PR 001569-5.000003</t>
  </si>
  <si>
    <t>PR 000552-5.000018</t>
  </si>
  <si>
    <t>PR 000328-0 000023</t>
  </si>
  <si>
    <t>PR 001309-9.001110</t>
  </si>
  <si>
    <t>N.P.K FERTIL COMERCIO DE FERTILIZANTES LTDA</t>
  </si>
  <si>
    <t>MT 000251-8.00012</t>
  </si>
  <si>
    <t>COBRE STD - MINERAL COMPLEXO</t>
  </si>
  <si>
    <t>GO-07167 10106-1</t>
  </si>
  <si>
    <t>NZ METAIS E OXIDOS INDUSTRIA COMERCIO IMPORTACAO E EXPORTACAO EIRELI</t>
  </si>
  <si>
    <t>ZINCO STD - MINERAL COMPLEXO</t>
  </si>
  <si>
    <t>GO-09240 10060-7</t>
  </si>
  <si>
    <t>MT 000251-8.000108</t>
  </si>
  <si>
    <t>RT COMERCIO, IMPORTACAO E EXPORTACAO DE GRAOS E FERTILIZANTES EIRELI</t>
  </si>
  <si>
    <t>MT 000251-8.000085</t>
  </si>
  <si>
    <t>PR 000915-6.000001</t>
  </si>
  <si>
    <t>ARAUCÁRIA, 10 de outubro de 2025</t>
  </si>
  <si>
    <t>PR 000551-7.000001</t>
  </si>
  <si>
    <t>PR 001079-0.000009</t>
  </si>
  <si>
    <t>BOLÍVIA</t>
  </si>
  <si>
    <t>B10% + 1%K - MINERAL MISTO</t>
  </si>
  <si>
    <t>SP 005066-0.000166</t>
  </si>
  <si>
    <t>AGRÁRIA INDÚSTRIA E COMÉRCIO LTDA</t>
  </si>
  <si>
    <t xml:space="preserve">MARÉ FERTILIZANTES </t>
  </si>
  <si>
    <t>07-28-16 - MINERAL MISTO</t>
  </si>
  <si>
    <t>PR 001079-0.000065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</si>
</sst>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_);_(* \(#,##0\);_(* &quot;-&quot;_);_(@_)"/>
    <numFmt numFmtId="165" formatCode="#,##0.000"/>
    <numFmt numFmtId="166" formatCode="#,##0.000;[Red]&quot;ERRO&quot;;0.000"/>
    <numFmt numFmtId="167" formatCode="#,##0.00;[Red]&quot;ERRO&quot;;0.00"/>
  </numFmts>
  <fonts count="45" x14ac:knownFonts="1">
    <font>
      <sz val="9"/>
      <color indexed="8"/>
      <name val="Arial Narrow"/>
    </font>
    <font>
      <sz val="9"/>
      <color indexed="8"/>
      <name val="Arial Narrow"/>
      <family val="2"/>
    </font>
    <font>
      <sz val="10"/>
      <color indexed="8"/>
      <name val="Arial"/>
      <family val="2"/>
    </font>
    <font>
      <sz val="9"/>
      <color indexed="8"/>
      <name val="Arial Narrow"/>
      <family val="2"/>
    </font>
    <font>
      <b/>
      <sz val="12"/>
      <color indexed="8"/>
      <name val="Times New Roman"/>
      <family val="1"/>
    </font>
    <font>
      <b/>
      <sz val="10"/>
      <color indexed="8"/>
      <name val="Times New Roman"/>
      <family val="1"/>
    </font>
    <font>
      <b/>
      <sz val="14"/>
      <color indexed="8"/>
      <name val="Times New Roman"/>
      <family val="1"/>
    </font>
    <font>
      <sz val="10"/>
      <color indexed="8"/>
      <name val="Arial Narrow"/>
      <family val="2"/>
    </font>
    <font>
      <b/>
      <sz val="9"/>
      <color indexed="8"/>
      <name val="Arial Narrow"/>
      <family val="2"/>
    </font>
    <font>
      <b/>
      <sz val="10"/>
      <color indexed="8"/>
      <name val="Arial Narrow"/>
      <family val="2"/>
    </font>
    <font>
      <b/>
      <i/>
      <sz val="10"/>
      <color indexed="12"/>
      <name val="Arial"/>
      <family val="2"/>
    </font>
    <font>
      <sz val="8"/>
      <color indexed="8"/>
      <name val="Tahoma"/>
      <family val="2"/>
    </font>
    <font>
      <u/>
      <sz val="9"/>
      <color indexed="12"/>
      <name val="Arial Narrow"/>
      <family val="2"/>
    </font>
    <font>
      <b/>
      <sz val="8"/>
      <color indexed="8"/>
      <name val="Arial Narrow"/>
      <family val="2"/>
    </font>
    <font>
      <sz val="9"/>
      <color indexed="51"/>
      <name val="Arial Narrow"/>
      <family val="2"/>
    </font>
    <font>
      <sz val="6"/>
      <color indexed="8"/>
      <name val="Arial Narrow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1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8"/>
      <name val="Calibri"/>
      <family val="2"/>
    </font>
    <font>
      <b/>
      <sz val="5"/>
      <color indexed="8"/>
      <name val="Arial Narrow"/>
      <family val="2"/>
    </font>
    <font>
      <sz val="9"/>
      <name val="Arial Narrow"/>
      <family val="2"/>
    </font>
    <font>
      <sz val="11"/>
      <name val="Arial"/>
      <family val="2"/>
    </font>
    <font>
      <sz val="9"/>
      <name val="Calibri"/>
      <family val="2"/>
    </font>
    <font>
      <sz val="9"/>
      <color rgb="FFFF0000"/>
      <name val="Arial Narrow"/>
      <family val="2"/>
    </font>
    <font>
      <sz val="9"/>
      <name val="Calibri"/>
      <family val="2"/>
      <scheme val="minor"/>
    </font>
    <font>
      <sz val="9"/>
      <color rgb="FFFF0000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FF0000"/>
      <name val="Calibri"/>
      <family val="2"/>
      <scheme val="minor"/>
    </font>
    <font>
      <sz val="9"/>
      <color indexed="8"/>
      <name val="Calibri"/>
      <family val="2"/>
      <scheme val="minor"/>
    </font>
    <font>
      <sz val="9"/>
      <color indexed="8"/>
      <name val="Arial"/>
      <family val="2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20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5">
    <xf numFmtId="0" fontId="0" fillId="0" borderId="0"/>
    <xf numFmtId="0" fontId="16" fillId="2" borderId="0"/>
    <xf numFmtId="0" fontId="16" fillId="3" borderId="0"/>
    <xf numFmtId="0" fontId="16" fillId="4" borderId="0"/>
    <xf numFmtId="0" fontId="16" fillId="5" borderId="0"/>
    <xf numFmtId="0" fontId="16" fillId="6" borderId="0"/>
    <xf numFmtId="0" fontId="16" fillId="7" borderId="0"/>
    <xf numFmtId="0" fontId="16" fillId="8" borderId="0"/>
    <xf numFmtId="0" fontId="16" fillId="9" borderId="0"/>
    <xf numFmtId="0" fontId="16" fillId="10" borderId="0"/>
    <xf numFmtId="0" fontId="16" fillId="5" borderId="0"/>
    <xf numFmtId="0" fontId="16" fillId="8" borderId="0"/>
    <xf numFmtId="0" fontId="16" fillId="11" borderId="0"/>
    <xf numFmtId="0" fontId="17" fillId="12" borderId="0"/>
    <xf numFmtId="0" fontId="17" fillId="9" borderId="0"/>
    <xf numFmtId="0" fontId="17" fillId="10" borderId="0"/>
    <xf numFmtId="0" fontId="17" fillId="13" borderId="0"/>
    <xf numFmtId="0" fontId="17" fillId="14" borderId="0"/>
    <xf numFmtId="0" fontId="17" fillId="15" borderId="0"/>
    <xf numFmtId="0" fontId="18" fillId="4" borderId="0"/>
    <xf numFmtId="0" fontId="19" fillId="16" borderId="1"/>
    <xf numFmtId="0" fontId="20" fillId="17" borderId="2"/>
    <xf numFmtId="0" fontId="21" fillId="0" borderId="3"/>
    <xf numFmtId="0" fontId="17" fillId="18" borderId="0"/>
    <xf numFmtId="0" fontId="17" fillId="19" borderId="0"/>
    <xf numFmtId="0" fontId="17" fillId="20" borderId="0"/>
    <xf numFmtId="0" fontId="17" fillId="13" borderId="0"/>
    <xf numFmtId="0" fontId="17" fillId="14" borderId="0"/>
    <xf numFmtId="0" fontId="17" fillId="21" borderId="0"/>
    <xf numFmtId="0" fontId="22" fillId="7" borderId="1"/>
    <xf numFmtId="0" fontId="12" fillId="0" borderId="0">
      <alignment vertical="top"/>
      <protection locked="0"/>
    </xf>
    <xf numFmtId="0" fontId="23" fillId="3" borderId="0"/>
    <xf numFmtId="0" fontId="24" fillId="22" borderId="0"/>
    <xf numFmtId="0" fontId="1" fillId="0" borderId="0"/>
    <xf numFmtId="0" fontId="3" fillId="23" borderId="4"/>
    <xf numFmtId="0" fontId="25" fillId="16" borderId="5"/>
    <xf numFmtId="164" fontId="3" fillId="0" borderId="0"/>
    <xf numFmtId="0" fontId="26" fillId="0" borderId="0"/>
    <xf numFmtId="0" fontId="27" fillId="0" borderId="0"/>
    <xf numFmtId="0" fontId="28" fillId="0" borderId="0"/>
    <xf numFmtId="0" fontId="29" fillId="0" borderId="6"/>
    <xf numFmtId="0" fontId="30" fillId="0" borderId="7"/>
    <xf numFmtId="0" fontId="31" fillId="0" borderId="8"/>
    <xf numFmtId="0" fontId="31" fillId="0" borderId="0"/>
    <xf numFmtId="0" fontId="32" fillId="0" borderId="9"/>
  </cellStyleXfs>
  <cellXfs count="161">
    <xf numFmtId="0" fontId="3" fillId="0" borderId="0" xfId="0" applyFont="1"/>
    <xf numFmtId="0" fontId="14" fillId="0" borderId="0" xfId="0" applyFont="1"/>
    <xf numFmtId="0" fontId="8" fillId="0" borderId="0" xfId="0" applyFont="1"/>
    <xf numFmtId="0" fontId="3" fillId="0" borderId="0" xfId="0" applyFont="1" applyAlignment="1" applyProtection="1">
      <alignment vertical="center"/>
      <protection locked="0"/>
    </xf>
    <xf numFmtId="0" fontId="5" fillId="0" borderId="0" xfId="0" applyFont="1" applyAlignment="1" applyProtection="1">
      <alignment horizontal="left"/>
      <protection locked="0"/>
    </xf>
    <xf numFmtId="0" fontId="15" fillId="0" borderId="10" xfId="0" applyFont="1" applyBorder="1" applyAlignment="1" applyProtection="1">
      <alignment horizontal="center" vertical="center"/>
      <protection locked="0"/>
    </xf>
    <xf numFmtId="0" fontId="3" fillId="0" borderId="0" xfId="0" applyFont="1" applyProtection="1">
      <protection locked="0"/>
    </xf>
    <xf numFmtId="0" fontId="5" fillId="0" borderId="0" xfId="0" applyFont="1" applyProtection="1">
      <protection locked="0"/>
    </xf>
    <xf numFmtId="0" fontId="7" fillId="0" borderId="0" xfId="0" applyFont="1" applyProtection="1">
      <protection locked="0"/>
    </xf>
    <xf numFmtId="0" fontId="9" fillId="0" borderId="0" xfId="0" applyFont="1" applyProtection="1">
      <protection locked="0"/>
    </xf>
    <xf numFmtId="2" fontId="34" fillId="0" borderId="11" xfId="0" applyNumberFormat="1" applyFont="1" applyBorder="1" applyProtection="1">
      <protection locked="0"/>
    </xf>
    <xf numFmtId="0" fontId="34" fillId="0" borderId="0" xfId="0" applyFont="1" applyProtection="1">
      <protection locked="0"/>
    </xf>
    <xf numFmtId="0" fontId="34" fillId="0" borderId="0" xfId="0" applyFont="1"/>
    <xf numFmtId="0" fontId="1" fillId="0" borderId="0" xfId="0" applyFont="1"/>
    <xf numFmtId="0" fontId="8" fillId="0" borderId="12" xfId="0" applyFont="1" applyBorder="1" applyAlignment="1" applyProtection="1">
      <alignment horizontal="center" vertical="center"/>
      <protection locked="0"/>
    </xf>
    <xf numFmtId="0" fontId="5" fillId="0" borderId="0" xfId="0" applyFont="1" applyAlignment="1" applyProtection="1">
      <alignment horizontal="right"/>
      <protection locked="0"/>
    </xf>
    <xf numFmtId="0" fontId="8" fillId="0" borderId="10" xfId="0" applyFont="1" applyBorder="1" applyAlignment="1" applyProtection="1">
      <alignment horizontal="center" vertical="center"/>
      <protection locked="0"/>
    </xf>
    <xf numFmtId="0" fontId="1" fillId="0" borderId="0" xfId="0" applyFont="1" applyProtection="1">
      <protection locked="0"/>
    </xf>
    <xf numFmtId="0" fontId="9" fillId="0" borderId="0" xfId="0" applyFont="1" applyAlignment="1" applyProtection="1">
      <alignment horizontal="left"/>
      <protection locked="0"/>
    </xf>
    <xf numFmtId="0" fontId="8" fillId="0" borderId="11" xfId="0" applyFont="1" applyBorder="1" applyAlignment="1" applyProtection="1">
      <alignment horizontal="center" vertical="center"/>
      <protection locked="0"/>
    </xf>
    <xf numFmtId="3" fontId="35" fillId="0" borderId="0" xfId="33" applyNumberFormat="1" applyFont="1" applyAlignment="1" applyProtection="1">
      <alignment vertical="center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2" fontId="37" fillId="0" borderId="11" xfId="0" applyNumberFormat="1" applyFont="1" applyBorder="1" applyProtection="1">
      <protection locked="0"/>
    </xf>
    <xf numFmtId="0" fontId="37" fillId="0" borderId="0" xfId="0" applyFont="1" applyProtection="1">
      <protection locked="0"/>
    </xf>
    <xf numFmtId="2" fontId="1" fillId="0" borderId="0" xfId="0" applyNumberFormat="1" applyFont="1" applyProtection="1">
      <protection locked="0"/>
    </xf>
    <xf numFmtId="2" fontId="38" fillId="0" borderId="11" xfId="0" applyNumberFormat="1" applyFont="1" applyBorder="1" applyProtection="1">
      <protection locked="0"/>
    </xf>
    <xf numFmtId="2" fontId="39" fillId="0" borderId="11" xfId="0" applyNumberFormat="1" applyFont="1" applyBorder="1" applyProtection="1">
      <protection locked="0"/>
    </xf>
    <xf numFmtId="0" fontId="40" fillId="0" borderId="11" xfId="0" applyFont="1" applyBorder="1" applyAlignment="1" applyProtection="1">
      <alignment horizontal="center"/>
      <protection locked="0"/>
    </xf>
    <xf numFmtId="0" fontId="40" fillId="0" borderId="10" xfId="0" applyFont="1" applyBorder="1"/>
    <xf numFmtId="165" fontId="40" fillId="0" borderId="10" xfId="0" applyNumberFormat="1" applyFont="1" applyBorder="1" applyProtection="1">
      <protection locked="0"/>
    </xf>
    <xf numFmtId="3" fontId="40" fillId="0" borderId="10" xfId="0" applyNumberFormat="1" applyFont="1" applyBorder="1" applyAlignment="1" applyProtection="1">
      <alignment horizontal="right"/>
      <protection locked="0"/>
    </xf>
    <xf numFmtId="165" fontId="40" fillId="0" borderId="10" xfId="0" applyNumberFormat="1" applyFont="1" applyBorder="1" applyAlignment="1" applyProtection="1">
      <alignment horizontal="center"/>
      <protection locked="0"/>
    </xf>
    <xf numFmtId="0" fontId="40" fillId="0" borderId="10" xfId="0" applyFont="1" applyBorder="1" applyAlignment="1">
      <alignment horizontal="left"/>
    </xf>
    <xf numFmtId="3" fontId="40" fillId="0" borderId="10" xfId="0" applyNumberFormat="1" applyFont="1" applyBorder="1" applyProtection="1">
      <protection locked="0"/>
    </xf>
    <xf numFmtId="0" fontId="40" fillId="0" borderId="10" xfId="0" applyFont="1" applyBorder="1" applyAlignment="1" applyProtection="1">
      <alignment horizontal="center"/>
      <protection locked="0"/>
    </xf>
    <xf numFmtId="3" fontId="40" fillId="0" borderId="10" xfId="0" applyNumberFormat="1" applyFont="1" applyBorder="1" applyAlignment="1" applyProtection="1">
      <alignment horizontal="left"/>
      <protection locked="0"/>
    </xf>
    <xf numFmtId="165" fontId="40" fillId="0" borderId="10" xfId="0" applyNumberFormat="1" applyFont="1" applyBorder="1" applyAlignment="1" applyProtection="1">
      <alignment horizontal="right"/>
      <protection locked="0"/>
    </xf>
    <xf numFmtId="3" fontId="42" fillId="0" borderId="10" xfId="0" applyNumberFormat="1" applyFont="1" applyBorder="1" applyAlignment="1" applyProtection="1">
      <alignment horizontal="right"/>
      <protection locked="0"/>
    </xf>
    <xf numFmtId="165" fontId="42" fillId="0" borderId="10" xfId="0" applyNumberFormat="1" applyFont="1" applyBorder="1" applyAlignment="1" applyProtection="1">
      <alignment horizontal="right"/>
      <protection locked="0"/>
    </xf>
    <xf numFmtId="165" fontId="42" fillId="0" borderId="10" xfId="0" applyNumberFormat="1" applyFont="1" applyBorder="1" applyProtection="1">
      <protection locked="0"/>
    </xf>
    <xf numFmtId="0" fontId="42" fillId="0" borderId="10" xfId="0" applyFont="1" applyBorder="1" applyAlignment="1" applyProtection="1">
      <alignment horizontal="center"/>
      <protection locked="0"/>
    </xf>
    <xf numFmtId="165" fontId="42" fillId="0" borderId="10" xfId="0" applyNumberFormat="1" applyFont="1" applyBorder="1" applyAlignment="1" applyProtection="1">
      <alignment horizontal="center"/>
      <protection locked="0"/>
    </xf>
    <xf numFmtId="165" fontId="40" fillId="0" borderId="16" xfId="0" applyNumberFormat="1" applyFont="1" applyBorder="1" applyAlignment="1" applyProtection="1">
      <alignment horizontal="right"/>
      <protection locked="0"/>
    </xf>
    <xf numFmtId="165" fontId="40" fillId="0" borderId="16" xfId="0" applyNumberFormat="1" applyFont="1" applyBorder="1" applyProtection="1">
      <protection locked="0"/>
    </xf>
    <xf numFmtId="0" fontId="40" fillId="0" borderId="16" xfId="0" applyFont="1" applyBorder="1" applyAlignment="1" applyProtection="1">
      <alignment horizontal="center"/>
      <protection locked="0"/>
    </xf>
    <xf numFmtId="167" fontId="1" fillId="0" borderId="0" xfId="0" applyNumberFormat="1" applyFont="1" applyProtection="1">
      <protection locked="0"/>
    </xf>
    <xf numFmtId="3" fontId="40" fillId="0" borderId="10" xfId="0" applyNumberFormat="1" applyFont="1" applyBorder="1" applyAlignment="1" applyProtection="1">
      <alignment horizontal="center"/>
      <protection locked="0"/>
    </xf>
    <xf numFmtId="165" fontId="40" fillId="0" borderId="16" xfId="0" applyNumberFormat="1" applyFont="1" applyBorder="1" applyAlignment="1" applyProtection="1">
      <alignment horizontal="center"/>
      <protection locked="0"/>
    </xf>
    <xf numFmtId="165" fontId="40" fillId="0" borderId="10" xfId="0" applyNumberFormat="1" applyFont="1" applyBorder="1" applyAlignment="1" applyProtection="1">
      <alignment horizontal="center" vertical="center"/>
      <protection locked="0"/>
    </xf>
    <xf numFmtId="165" fontId="42" fillId="0" borderId="16" xfId="0" applyNumberFormat="1" applyFont="1" applyBorder="1" applyAlignment="1" applyProtection="1">
      <alignment horizontal="right"/>
      <protection locked="0"/>
    </xf>
    <xf numFmtId="165" fontId="42" fillId="0" borderId="16" xfId="0" applyNumberFormat="1" applyFont="1" applyBorder="1" applyProtection="1">
      <protection locked="0"/>
    </xf>
    <xf numFmtId="0" fontId="42" fillId="0" borderId="16" xfId="0" applyFont="1" applyBorder="1" applyAlignment="1" applyProtection="1">
      <alignment horizontal="center"/>
      <protection locked="0"/>
    </xf>
    <xf numFmtId="0" fontId="38" fillId="0" borderId="11" xfId="0" applyFont="1" applyBorder="1" applyAlignment="1" applyProtection="1">
      <alignment horizontal="left"/>
      <protection locked="0"/>
    </xf>
    <xf numFmtId="0" fontId="38" fillId="0" borderId="13" xfId="0" applyFont="1" applyBorder="1" applyAlignment="1" applyProtection="1">
      <alignment horizontal="left"/>
      <protection locked="0"/>
    </xf>
    <xf numFmtId="0" fontId="38" fillId="0" borderId="14" xfId="0" applyFont="1" applyBorder="1" applyAlignment="1" applyProtection="1">
      <alignment horizontal="left"/>
      <protection locked="0"/>
    </xf>
    <xf numFmtId="0" fontId="40" fillId="0" borderId="0" xfId="0" applyFont="1"/>
    <xf numFmtId="4" fontId="40" fillId="0" borderId="10" xfId="0" applyNumberFormat="1" applyFont="1" applyBorder="1" applyAlignment="1" applyProtection="1">
      <alignment horizontal="center"/>
      <protection locked="0"/>
    </xf>
    <xf numFmtId="0" fontId="36" fillId="0" borderId="11" xfId="0" applyFont="1" applyBorder="1" applyProtection="1">
      <protection locked="0"/>
    </xf>
    <xf numFmtId="0" fontId="36" fillId="0" borderId="13" xfId="0" applyFont="1" applyBorder="1" applyProtection="1">
      <protection locked="0"/>
    </xf>
    <xf numFmtId="0" fontId="36" fillId="0" borderId="14" xfId="0" applyFont="1" applyBorder="1" applyProtection="1">
      <protection locked="0"/>
    </xf>
    <xf numFmtId="165" fontId="40" fillId="0" borderId="11" xfId="0" applyNumberFormat="1" applyFont="1" applyBorder="1" applyAlignment="1" applyProtection="1">
      <alignment horizontal="right"/>
      <protection locked="0"/>
    </xf>
    <xf numFmtId="165" fontId="40" fillId="0" borderId="13" xfId="0" applyNumberFormat="1" applyFont="1" applyBorder="1" applyAlignment="1" applyProtection="1">
      <alignment horizontal="right"/>
      <protection locked="0"/>
    </xf>
    <xf numFmtId="165" fontId="40" fillId="0" borderId="14" xfId="0" applyNumberFormat="1" applyFont="1" applyBorder="1" applyAlignment="1" applyProtection="1">
      <alignment horizontal="right"/>
      <protection locked="0"/>
    </xf>
    <xf numFmtId="166" fontId="40" fillId="0" borderId="11" xfId="0" applyNumberFormat="1" applyFont="1" applyBorder="1" applyAlignment="1">
      <alignment horizontal="right"/>
    </xf>
    <xf numFmtId="166" fontId="40" fillId="0" borderId="13" xfId="0" applyNumberFormat="1" applyFont="1" applyBorder="1" applyAlignment="1">
      <alignment horizontal="right"/>
    </xf>
    <xf numFmtId="166" fontId="40" fillId="0" borderId="14" xfId="0" applyNumberFormat="1" applyFont="1" applyBorder="1" applyAlignment="1">
      <alignment horizontal="right"/>
    </xf>
    <xf numFmtId="165" fontId="40" fillId="0" borderId="11" xfId="0" applyNumberFormat="1" applyFont="1" applyBorder="1" applyAlignment="1" applyProtection="1">
      <alignment horizontal="center"/>
      <protection locked="0"/>
    </xf>
    <xf numFmtId="165" fontId="40" fillId="0" borderId="13" xfId="0" applyNumberFormat="1" applyFont="1" applyBorder="1" applyAlignment="1" applyProtection="1">
      <alignment horizontal="center"/>
      <protection locked="0"/>
    </xf>
    <xf numFmtId="165" fontId="40" fillId="0" borderId="14" xfId="0" applyNumberFormat="1" applyFont="1" applyBorder="1" applyAlignment="1" applyProtection="1">
      <alignment horizontal="center"/>
      <protection locked="0"/>
    </xf>
    <xf numFmtId="0" fontId="38" fillId="0" borderId="10" xfId="0" applyFont="1" applyBorder="1" applyAlignment="1" applyProtection="1">
      <alignment horizontal="left"/>
      <protection locked="0"/>
    </xf>
    <xf numFmtId="4" fontId="40" fillId="0" borderId="11" xfId="0" applyNumberFormat="1" applyFont="1" applyBorder="1" applyAlignment="1" applyProtection="1">
      <alignment horizontal="center"/>
      <protection locked="0"/>
    </xf>
    <xf numFmtId="4" fontId="40" fillId="0" borderId="13" xfId="0" applyNumberFormat="1" applyFont="1" applyBorder="1" applyAlignment="1" applyProtection="1">
      <alignment horizontal="center"/>
      <protection locked="0"/>
    </xf>
    <xf numFmtId="4" fontId="40" fillId="0" borderId="14" xfId="0" applyNumberFormat="1" applyFont="1" applyBorder="1" applyAlignment="1" applyProtection="1">
      <alignment horizontal="center"/>
      <protection locked="0"/>
    </xf>
    <xf numFmtId="0" fontId="38" fillId="0" borderId="11" xfId="0" applyFont="1" applyBorder="1" applyAlignment="1" applyProtection="1">
      <alignment horizontal="left"/>
      <protection locked="0"/>
    </xf>
    <xf numFmtId="0" fontId="38" fillId="0" borderId="13" xfId="0" applyFont="1" applyBorder="1" applyAlignment="1" applyProtection="1">
      <alignment horizontal="left"/>
      <protection locked="0"/>
    </xf>
    <xf numFmtId="0" fontId="38" fillId="0" borderId="14" xfId="0" applyFont="1" applyBorder="1" applyAlignment="1" applyProtection="1">
      <alignment horizontal="left"/>
      <protection locked="0"/>
    </xf>
    <xf numFmtId="167" fontId="41" fillId="0" borderId="11" xfId="0" applyNumberFormat="1" applyFont="1" applyBorder="1" applyAlignment="1">
      <alignment horizontal="center"/>
    </xf>
    <xf numFmtId="167" fontId="41" fillId="0" borderId="13" xfId="0" applyNumberFormat="1" applyFont="1" applyBorder="1" applyAlignment="1">
      <alignment horizontal="center"/>
    </xf>
    <xf numFmtId="167" fontId="41" fillId="0" borderId="14" xfId="0" applyNumberFormat="1" applyFont="1" applyBorder="1" applyAlignment="1">
      <alignment horizontal="center"/>
    </xf>
    <xf numFmtId="0" fontId="36" fillId="0" borderId="11" xfId="0" applyFont="1" applyBorder="1" applyAlignment="1" applyProtection="1">
      <alignment horizontal="left"/>
      <protection locked="0"/>
    </xf>
    <xf numFmtId="0" fontId="36" fillId="0" borderId="13" xfId="0" applyFont="1" applyBorder="1" applyAlignment="1" applyProtection="1">
      <alignment horizontal="left"/>
      <protection locked="0"/>
    </xf>
    <xf numFmtId="0" fontId="36" fillId="0" borderId="14" xfId="0" applyFont="1" applyBorder="1" applyAlignment="1" applyProtection="1">
      <alignment horizontal="left"/>
      <protection locked="0"/>
    </xf>
    <xf numFmtId="165" fontId="40" fillId="0" borderId="10" xfId="0" applyNumberFormat="1" applyFont="1" applyBorder="1" applyProtection="1">
      <protection locked="0"/>
    </xf>
    <xf numFmtId="4" fontId="40" fillId="0" borderId="10" xfId="0" applyNumberFormat="1" applyFont="1" applyBorder="1" applyAlignment="1" applyProtection="1">
      <alignment horizontal="center"/>
      <protection locked="0"/>
    </xf>
    <xf numFmtId="165" fontId="42" fillId="0" borderId="11" xfId="0" applyNumberFormat="1" applyFont="1" applyBorder="1" applyAlignment="1" applyProtection="1">
      <alignment horizontal="center"/>
      <protection locked="0"/>
    </xf>
    <xf numFmtId="165" fontId="42" fillId="0" borderId="13" xfId="0" applyNumberFormat="1" applyFont="1" applyBorder="1" applyAlignment="1" applyProtection="1">
      <alignment horizontal="center"/>
      <protection locked="0"/>
    </xf>
    <xf numFmtId="165" fontId="42" fillId="0" borderId="14" xfId="0" applyNumberFormat="1" applyFont="1" applyBorder="1" applyAlignment="1" applyProtection="1">
      <alignment horizontal="center"/>
      <protection locked="0"/>
    </xf>
    <xf numFmtId="165" fontId="40" fillId="0" borderId="10" xfId="0" applyNumberFormat="1" applyFont="1" applyBorder="1" applyAlignment="1" applyProtection="1">
      <alignment horizontal="center"/>
      <protection locked="0"/>
    </xf>
    <xf numFmtId="166" fontId="40" fillId="0" borderId="11" xfId="0" applyNumberFormat="1" applyFont="1" applyBorder="1"/>
    <xf numFmtId="166" fontId="40" fillId="0" borderId="13" xfId="0" applyNumberFormat="1" applyFont="1" applyBorder="1"/>
    <xf numFmtId="166" fontId="40" fillId="0" borderId="14" xfId="0" applyNumberFormat="1" applyFont="1" applyBorder="1"/>
    <xf numFmtId="0" fontId="1" fillId="0" borderId="0" xfId="0" applyFont="1" applyAlignment="1" applyProtection="1">
      <alignment horizontal="center" vertical="center" wrapText="1"/>
      <protection locked="0"/>
    </xf>
    <xf numFmtId="0" fontId="7" fillId="0" borderId="0" xfId="0" applyFont="1" applyAlignment="1" applyProtection="1">
      <alignment horizontal="center"/>
      <protection locked="0"/>
    </xf>
    <xf numFmtId="0" fontId="9" fillId="0" borderId="11" xfId="0" applyFont="1" applyBorder="1" applyAlignment="1" applyProtection="1">
      <alignment horizontal="center" vertical="center"/>
      <protection locked="0"/>
    </xf>
    <xf numFmtId="0" fontId="9" fillId="0" borderId="13" xfId="0" applyFont="1" applyBorder="1" applyAlignment="1" applyProtection="1">
      <alignment horizontal="center" vertical="center"/>
      <protection locked="0"/>
    </xf>
    <xf numFmtId="0" fontId="9" fillId="0" borderId="14" xfId="0" applyFont="1" applyBorder="1" applyAlignment="1" applyProtection="1">
      <alignment horizontal="center" vertical="center"/>
      <protection locked="0"/>
    </xf>
    <xf numFmtId="0" fontId="13" fillId="0" borderId="15" xfId="0" applyFont="1" applyBorder="1" applyAlignment="1" applyProtection="1">
      <alignment horizontal="center" vertical="center"/>
      <protection locked="0"/>
    </xf>
    <xf numFmtId="0" fontId="13" fillId="0" borderId="16" xfId="0" applyFont="1" applyBorder="1" applyAlignment="1" applyProtection="1">
      <alignment horizontal="center" vertical="center"/>
      <protection locked="0"/>
    </xf>
    <xf numFmtId="0" fontId="9" fillId="0" borderId="10" xfId="0" applyFont="1" applyBorder="1" applyAlignment="1" applyProtection="1">
      <alignment horizontal="center" vertical="center"/>
      <protection locked="0"/>
    </xf>
    <xf numFmtId="0" fontId="5" fillId="0" borderId="0" xfId="0" applyFont="1" applyAlignment="1" applyProtection="1">
      <alignment horizontal="right"/>
      <protection locked="0"/>
    </xf>
    <xf numFmtId="0" fontId="7" fillId="0" borderId="0" xfId="0" applyFont="1" applyProtection="1">
      <protection locked="0"/>
    </xf>
    <xf numFmtId="0" fontId="13" fillId="0" borderId="18" xfId="0" applyFont="1" applyBorder="1" applyAlignment="1" applyProtection="1">
      <alignment horizontal="center" vertical="center"/>
      <protection locked="0"/>
    </xf>
    <xf numFmtId="0" fontId="13" fillId="0" borderId="20" xfId="0" applyFont="1" applyBorder="1" applyAlignment="1" applyProtection="1">
      <alignment horizontal="center" vertical="center"/>
      <protection locked="0"/>
    </xf>
    <xf numFmtId="0" fontId="8" fillId="0" borderId="18" xfId="0" applyFont="1" applyBorder="1" applyAlignment="1" applyProtection="1">
      <alignment horizontal="center" vertical="center"/>
      <protection locked="0"/>
    </xf>
    <xf numFmtId="0" fontId="8" fillId="0" borderId="19" xfId="0" applyFont="1" applyBorder="1" applyAlignment="1" applyProtection="1">
      <alignment horizontal="center" vertical="center"/>
      <protection locked="0"/>
    </xf>
    <xf numFmtId="0" fontId="8" fillId="0" borderId="20" xfId="0" applyFont="1" applyBorder="1" applyAlignment="1" applyProtection="1">
      <alignment horizontal="center" vertical="center"/>
      <protection locked="0"/>
    </xf>
    <xf numFmtId="0" fontId="8" fillId="0" borderId="21" xfId="0" applyFont="1" applyBorder="1" applyAlignment="1" applyProtection="1">
      <alignment horizontal="center" vertical="center"/>
      <protection locked="0"/>
    </xf>
    <xf numFmtId="0" fontId="8" fillId="0" borderId="0" xfId="0" applyFont="1" applyAlignment="1" applyProtection="1">
      <alignment horizontal="center" vertical="center"/>
      <protection locked="0"/>
    </xf>
    <xf numFmtId="0" fontId="8" fillId="0" borderId="22" xfId="0" applyFont="1" applyBorder="1" applyAlignment="1" applyProtection="1">
      <alignment horizontal="center" vertical="center"/>
      <protection locked="0"/>
    </xf>
    <xf numFmtId="0" fontId="8" fillId="0" borderId="12" xfId="0" applyFont="1" applyBorder="1" applyAlignment="1" applyProtection="1">
      <alignment horizontal="center" vertical="center"/>
      <protection locked="0"/>
    </xf>
    <xf numFmtId="0" fontId="8" fillId="0" borderId="23" xfId="0" applyFont="1" applyBorder="1" applyAlignment="1" applyProtection="1">
      <alignment horizontal="center" vertical="center"/>
      <protection locked="0"/>
    </xf>
    <xf numFmtId="0" fontId="8" fillId="0" borderId="24" xfId="0" applyFont="1" applyBorder="1" applyAlignment="1" applyProtection="1">
      <alignment horizontal="center" vertical="center"/>
      <protection locked="0"/>
    </xf>
    <xf numFmtId="0" fontId="8" fillId="0" borderId="11" xfId="0" applyFont="1" applyBorder="1" applyAlignment="1" applyProtection="1">
      <alignment horizontal="center"/>
      <protection locked="0"/>
    </xf>
    <xf numFmtId="0" fontId="8" fillId="0" borderId="13" xfId="0" applyFont="1" applyBorder="1" applyAlignment="1" applyProtection="1">
      <alignment horizontal="center"/>
      <protection locked="0"/>
    </xf>
    <xf numFmtId="0" fontId="8" fillId="0" borderId="11" xfId="0" applyFont="1" applyBorder="1" applyAlignment="1" applyProtection="1">
      <alignment horizontal="center" vertical="center"/>
      <protection locked="0"/>
    </xf>
    <xf numFmtId="0" fontId="8" fillId="0" borderId="13" xfId="0" applyFont="1" applyBorder="1" applyAlignment="1" applyProtection="1">
      <alignment horizontal="center" vertical="center"/>
      <protection locked="0"/>
    </xf>
    <xf numFmtId="0" fontId="8" fillId="0" borderId="14" xfId="0" applyFont="1" applyBorder="1" applyAlignment="1" applyProtection="1">
      <alignment horizontal="center" vertical="center"/>
      <protection locked="0"/>
    </xf>
    <xf numFmtId="0" fontId="9" fillId="0" borderId="15" xfId="0" applyFont="1" applyBorder="1" applyAlignment="1" applyProtection="1">
      <alignment horizontal="center" vertical="center"/>
      <protection locked="0"/>
    </xf>
    <xf numFmtId="0" fontId="9" fillId="0" borderId="17" xfId="0" applyFont="1" applyBorder="1" applyAlignment="1" applyProtection="1">
      <alignment horizontal="center" vertical="center"/>
      <protection locked="0"/>
    </xf>
    <xf numFmtId="0" fontId="9" fillId="0" borderId="16" xfId="0" applyFont="1" applyBorder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/>
      <protection locked="0"/>
    </xf>
    <xf numFmtId="0" fontId="1" fillId="0" borderId="0" xfId="0" applyFont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9" fillId="0" borderId="0" xfId="0" applyFont="1" applyAlignment="1" applyProtection="1">
      <alignment horizontal="left"/>
      <protection locked="0"/>
    </xf>
    <xf numFmtId="0" fontId="12" fillId="0" borderId="0" xfId="30" applyAlignment="1">
      <protection locked="0"/>
    </xf>
    <xf numFmtId="0" fontId="7" fillId="0" borderId="0" xfId="33" applyFont="1" applyAlignment="1" applyProtection="1">
      <alignment vertical="center"/>
      <protection locked="0"/>
    </xf>
    <xf numFmtId="0" fontId="8" fillId="0" borderId="10" xfId="0" applyFont="1" applyBorder="1" applyAlignment="1" applyProtection="1">
      <alignment horizontal="center" vertical="center"/>
      <protection locked="0"/>
    </xf>
    <xf numFmtId="4" fontId="40" fillId="0" borderId="10" xfId="0" applyNumberFormat="1" applyFont="1" applyBorder="1" applyAlignment="1" applyProtection="1">
      <protection locked="0"/>
    </xf>
    <xf numFmtId="0" fontId="36" fillId="0" borderId="10" xfId="0" applyFont="1" applyFill="1" applyBorder="1" applyProtection="1">
      <protection locked="0"/>
    </xf>
    <xf numFmtId="0" fontId="36" fillId="0" borderId="10" xfId="0" applyFont="1" applyFill="1" applyBorder="1" applyProtection="1">
      <protection locked="0"/>
    </xf>
    <xf numFmtId="0" fontId="0" fillId="0" borderId="11" xfId="0" applyFill="1" applyBorder="1" applyAlignment="1">
      <alignment horizontal="left"/>
    </xf>
    <xf numFmtId="0" fontId="0" fillId="0" borderId="13" xfId="0" applyFill="1" applyBorder="1" applyAlignment="1">
      <alignment horizontal="left"/>
    </xf>
    <xf numFmtId="0" fontId="0" fillId="0" borderId="14" xfId="0" applyFill="1" applyBorder="1" applyAlignment="1">
      <alignment horizontal="left"/>
    </xf>
    <xf numFmtId="0" fontId="43" fillId="0" borderId="10" xfId="0" applyFont="1" applyFill="1" applyBorder="1"/>
    <xf numFmtId="0" fontId="43" fillId="0" borderId="11" xfId="0" applyFont="1" applyFill="1" applyBorder="1"/>
    <xf numFmtId="0" fontId="36" fillId="0" borderId="13" xfId="0" applyFont="1" applyFill="1" applyBorder="1" applyProtection="1">
      <protection locked="0"/>
    </xf>
    <xf numFmtId="0" fontId="36" fillId="0" borderId="14" xfId="0" applyFont="1" applyFill="1" applyBorder="1" applyProtection="1">
      <protection locked="0"/>
    </xf>
    <xf numFmtId="0" fontId="36" fillId="0" borderId="11" xfId="0" applyFont="1" applyFill="1" applyBorder="1" applyAlignment="1" applyProtection="1">
      <alignment horizontal="left"/>
      <protection locked="0"/>
    </xf>
    <xf numFmtId="0" fontId="36" fillId="0" borderId="13" xfId="0" applyFont="1" applyFill="1" applyBorder="1" applyAlignment="1" applyProtection="1">
      <alignment horizontal="left"/>
      <protection locked="0"/>
    </xf>
    <xf numFmtId="0" fontId="36" fillId="0" borderId="14" xfId="0" applyFont="1" applyFill="1" applyBorder="1" applyAlignment="1" applyProtection="1">
      <alignment horizontal="left"/>
      <protection locked="0"/>
    </xf>
    <xf numFmtId="0" fontId="36" fillId="0" borderId="11" xfId="0" applyFont="1" applyFill="1" applyBorder="1" applyAlignment="1" applyProtection="1">
      <alignment horizontal="left"/>
      <protection locked="0"/>
    </xf>
    <xf numFmtId="0" fontId="36" fillId="0" borderId="13" xfId="0" applyFont="1" applyFill="1" applyBorder="1" applyAlignment="1" applyProtection="1">
      <alignment horizontal="left"/>
      <protection locked="0"/>
    </xf>
    <xf numFmtId="0" fontId="36" fillId="0" borderId="14" xfId="0" applyFont="1" applyFill="1" applyBorder="1" applyAlignment="1" applyProtection="1">
      <alignment horizontal="left"/>
      <protection locked="0"/>
    </xf>
    <xf numFmtId="3" fontId="36" fillId="0" borderId="11" xfId="0" applyNumberFormat="1" applyFont="1" applyFill="1" applyBorder="1" applyAlignment="1">
      <alignment horizontal="left"/>
    </xf>
    <xf numFmtId="3" fontId="36" fillId="0" borderId="13" xfId="0" applyNumberFormat="1" applyFont="1" applyFill="1" applyBorder="1" applyAlignment="1">
      <alignment horizontal="left"/>
    </xf>
    <xf numFmtId="3" fontId="36" fillId="0" borderId="14" xfId="0" applyNumberFormat="1" applyFont="1" applyFill="1" applyBorder="1" applyAlignment="1">
      <alignment horizontal="left"/>
    </xf>
    <xf numFmtId="3" fontId="36" fillId="0" borderId="11" xfId="0" applyNumberFormat="1" applyFont="1" applyFill="1" applyBorder="1" applyAlignment="1">
      <alignment horizontal="left"/>
    </xf>
    <xf numFmtId="3" fontId="36" fillId="0" borderId="13" xfId="0" applyNumberFormat="1" applyFont="1" applyFill="1" applyBorder="1" applyAlignment="1">
      <alignment horizontal="left"/>
    </xf>
    <xf numFmtId="3" fontId="36" fillId="0" borderId="14" xfId="0" applyNumberFormat="1" applyFont="1" applyFill="1" applyBorder="1" applyAlignment="1">
      <alignment horizontal="left"/>
    </xf>
    <xf numFmtId="0" fontId="0" fillId="0" borderId="11" xfId="0" applyFill="1" applyBorder="1" applyAlignment="1">
      <alignment horizontal="left"/>
    </xf>
    <xf numFmtId="0" fontId="0" fillId="0" borderId="13" xfId="0" applyFill="1" applyBorder="1" applyAlignment="1">
      <alignment horizontal="left"/>
    </xf>
    <xf numFmtId="0" fontId="0" fillId="0" borderId="14" xfId="0" applyFill="1" applyBorder="1" applyAlignment="1">
      <alignment horizontal="left"/>
    </xf>
    <xf numFmtId="0" fontId="36" fillId="0" borderId="11" xfId="0" applyFont="1" applyFill="1" applyBorder="1" applyAlignment="1">
      <alignment horizontal="left"/>
    </xf>
    <xf numFmtId="0" fontId="36" fillId="0" borderId="13" xfId="0" applyFont="1" applyFill="1" applyBorder="1" applyAlignment="1">
      <alignment horizontal="left"/>
    </xf>
    <xf numFmtId="0" fontId="36" fillId="0" borderId="14" xfId="0" applyFont="1" applyFill="1" applyBorder="1" applyAlignment="1">
      <alignment horizontal="left"/>
    </xf>
    <xf numFmtId="0" fontId="44" fillId="0" borderId="0" xfId="0" applyFont="1" applyFill="1"/>
    <xf numFmtId="0" fontId="36" fillId="0" borderId="11" xfId="0" applyFont="1" applyFill="1" applyBorder="1" applyAlignment="1">
      <alignment horizontal="left"/>
    </xf>
    <xf numFmtId="0" fontId="36" fillId="0" borderId="13" xfId="0" applyFont="1" applyFill="1" applyBorder="1" applyAlignment="1">
      <alignment horizontal="left"/>
    </xf>
    <xf numFmtId="0" fontId="36" fillId="0" borderId="14" xfId="0" applyFont="1" applyFill="1" applyBorder="1" applyAlignment="1">
      <alignment horizontal="left"/>
    </xf>
  </cellXfs>
  <cellStyles count="45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Hiperlink" xfId="30" builtinId="8"/>
    <cellStyle name="Neutro" xfId="32" builtinId="28" customBuiltin="1"/>
    <cellStyle name="Normal" xfId="0" builtinId="0"/>
    <cellStyle name="Normal 2" xfId="33" xr:uid="{00000000-0005-0000-0000-000021000000}"/>
    <cellStyle name="Nota" xfId="34" builtinId="10" customBuiltin="1"/>
    <cellStyle name="Ruim" xfId="31" builtinId="27" customBuiltin="1"/>
    <cellStyle name="Saída" xfId="35" builtinId="21" customBuiltin="1"/>
    <cellStyle name="Separador de milhares [" xfId="36" xr:uid="{00000000-0005-0000-0000-000024000000}"/>
    <cellStyle name="Texto de Aviso" xfId="37" builtinId="11" customBuiltin="1"/>
    <cellStyle name="Texto Explicativo" xfId="38" builtinId="53" customBuiltin="1"/>
    <cellStyle name="Título" xfId="39" builtinId="15" customBuiltin="1"/>
    <cellStyle name="Título 1" xfId="40" builtinId="16" customBuiltin="1"/>
    <cellStyle name="Título 2" xfId="41" builtinId="17" customBuiltin="1"/>
    <cellStyle name="Título 3" xfId="42" builtinId="18" customBuiltin="1"/>
    <cellStyle name="Título 4" xfId="43" builtinId="19" customBuiltin="1"/>
    <cellStyle name="Total" xfId="44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tecnico@solovivo.com.br" TargetMode="Externa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V81"/>
  <sheetViews>
    <sheetView tabSelected="1" topLeftCell="A6" zoomScale="90" zoomScaleNormal="90" workbookViewId="0">
      <selection activeCell="O83" sqref="O82:O83"/>
    </sheetView>
  </sheetViews>
  <sheetFormatPr defaultColWidth="9.59765625" defaultRowHeight="13.5" x14ac:dyDescent="0.25"/>
  <cols>
    <col min="1" max="1" width="5.19921875" style="6" customWidth="1"/>
    <col min="2" max="3" width="5" style="6" customWidth="1"/>
    <col min="4" max="4" width="43.59765625" style="6" customWidth="1"/>
    <col min="5" max="5" width="6" style="6" customWidth="1"/>
    <col min="6" max="6" width="7.59765625" style="6" customWidth="1"/>
    <col min="7" max="7" width="37.59765625" style="6" customWidth="1"/>
    <col min="8" max="8" width="7.59765625" style="6" bestFit="1" customWidth="1"/>
    <col min="9" max="9" width="7.19921875" style="6" customWidth="1"/>
    <col min="10" max="10" width="7.59765625" style="6" bestFit="1" customWidth="1"/>
    <col min="11" max="11" width="7.3984375" style="6" customWidth="1"/>
    <col min="12" max="12" width="7.796875" style="6" customWidth="1"/>
    <col min="13" max="13" width="6.3984375" style="6" customWidth="1"/>
    <col min="14" max="14" width="7.19921875" style="6" customWidth="1"/>
    <col min="15" max="15" width="7.3984375" style="6" customWidth="1"/>
    <col min="16" max="17" width="6" style="6" bestFit="1" customWidth="1"/>
    <col min="18" max="18" width="7.59765625" style="6" customWidth="1"/>
    <col min="19" max="19" width="6" style="6" bestFit="1" customWidth="1"/>
    <col min="20" max="20" width="8.3984375" style="6" customWidth="1"/>
    <col min="21" max="23" width="6" style="6" bestFit="1" customWidth="1"/>
    <col min="24" max="24" width="6.59765625" style="6" customWidth="1"/>
    <col min="25" max="25" width="14.59765625" style="6" customWidth="1"/>
    <col min="26" max="27" width="3.796875" style="6" customWidth="1"/>
    <col min="28" max="28" width="6" style="6" customWidth="1"/>
    <col min="29" max="29" width="5.19921875" style="6" customWidth="1"/>
    <col min="30" max="30" width="6" style="6" customWidth="1"/>
    <col min="31" max="31" width="10.796875" style="6" customWidth="1"/>
    <col min="32" max="32" width="9.59765625" style="6" customWidth="1"/>
    <col min="33" max="33" width="94" style="6" customWidth="1"/>
    <col min="34" max="35" width="6" style="6" customWidth="1"/>
    <col min="36" max="36" width="8" style="6" customWidth="1"/>
    <col min="37" max="37" width="24.19921875" style="6" customWidth="1"/>
    <col min="38" max="39" width="6" style="6" customWidth="1"/>
    <col min="40" max="40" width="7" style="6" customWidth="1"/>
    <col min="41" max="41" width="21.59765625" style="6" bestFit="1" customWidth="1"/>
    <col min="42" max="42" width="18.59765625" style="6" customWidth="1"/>
    <col min="43" max="43" width="22.796875" style="6" customWidth="1"/>
    <col min="44" max="44" width="19.796875" style="6" customWidth="1"/>
    <col min="45" max="45" width="29.19921875" style="6" bestFit="1" customWidth="1"/>
    <col min="46" max="47" width="6" style="6" customWidth="1"/>
    <col min="48" max="48" width="17" style="6" customWidth="1"/>
    <col min="49" max="50" width="6" style="6" customWidth="1"/>
    <col min="51" max="16384" width="9.59765625" style="6"/>
  </cols>
  <sheetData>
    <row r="1" spans="1:48" ht="15.75" x14ac:dyDescent="0.25">
      <c r="A1" s="120" t="s">
        <v>0</v>
      </c>
      <c r="B1" s="120"/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  <c r="AA1" s="120"/>
      <c r="AB1" s="120"/>
      <c r="AC1" s="120"/>
      <c r="AD1" s="120"/>
      <c r="AE1" s="120"/>
      <c r="AF1" s="120"/>
      <c r="AG1" s="120"/>
      <c r="AH1" s="120"/>
      <c r="AI1" s="120"/>
      <c r="AJ1" s="120"/>
      <c r="AK1" s="120"/>
      <c r="AL1" s="120"/>
      <c r="AM1" s="120"/>
      <c r="AN1" s="120"/>
      <c r="AO1" s="120"/>
      <c r="AP1" s="120"/>
      <c r="AQ1" s="120"/>
      <c r="AR1" s="120"/>
      <c r="AS1" s="120"/>
      <c r="AT1" s="120"/>
      <c r="AU1" s="120"/>
      <c r="AV1" s="120"/>
    </row>
    <row r="2" spans="1:48" x14ac:dyDescent="0.25">
      <c r="A2" s="121" t="s">
        <v>1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121"/>
      <c r="Y2" s="121"/>
      <c r="Z2" s="121"/>
      <c r="AA2" s="121"/>
      <c r="AB2" s="121"/>
      <c r="AC2" s="121"/>
      <c r="AD2" s="121"/>
      <c r="AE2" s="121"/>
      <c r="AF2" s="121"/>
      <c r="AG2" s="121"/>
      <c r="AH2" s="121"/>
      <c r="AI2" s="121"/>
      <c r="AJ2" s="121"/>
      <c r="AK2" s="121"/>
      <c r="AL2" s="121"/>
      <c r="AM2" s="121"/>
      <c r="AN2" s="121"/>
      <c r="AO2" s="121"/>
      <c r="AP2" s="121"/>
      <c r="AQ2" s="121"/>
      <c r="AR2" s="121"/>
      <c r="AS2" s="121"/>
      <c r="AT2" s="121"/>
      <c r="AU2" s="121"/>
      <c r="AV2" s="121"/>
    </row>
    <row r="3" spans="1:48" ht="6.75" customHeight="1" x14ac:dyDescent="0.25">
      <c r="A3" s="122"/>
      <c r="B3" s="122"/>
      <c r="C3" s="122"/>
      <c r="D3" s="122"/>
      <c r="E3" s="122"/>
      <c r="F3" s="122"/>
      <c r="G3" s="122"/>
      <c r="H3" s="122"/>
      <c r="I3" s="122"/>
      <c r="J3" s="122"/>
      <c r="K3" s="122"/>
      <c r="L3" s="122"/>
      <c r="M3" s="122"/>
      <c r="N3" s="122"/>
      <c r="O3" s="122"/>
      <c r="P3" s="122"/>
      <c r="Q3" s="122"/>
      <c r="R3" s="122"/>
      <c r="S3" s="122"/>
      <c r="T3" s="122"/>
      <c r="U3" s="122"/>
      <c r="V3" s="122"/>
      <c r="W3" s="122"/>
      <c r="X3" s="122"/>
      <c r="Y3" s="122"/>
      <c r="Z3" s="122"/>
      <c r="AA3" s="122"/>
      <c r="AB3" s="122"/>
      <c r="AC3" s="122"/>
      <c r="AD3" s="122"/>
      <c r="AE3" s="122"/>
      <c r="AF3" s="122"/>
      <c r="AG3" s="122"/>
      <c r="AH3" s="122"/>
      <c r="AI3" s="122"/>
      <c r="AJ3" s="122"/>
      <c r="AK3" s="122"/>
      <c r="AL3" s="122"/>
      <c r="AM3" s="122"/>
      <c r="AN3" s="122"/>
      <c r="AO3" s="122"/>
      <c r="AP3" s="122"/>
      <c r="AQ3" s="122"/>
      <c r="AR3" s="122"/>
      <c r="AS3" s="122"/>
      <c r="AT3" s="122"/>
      <c r="AU3" s="122"/>
      <c r="AV3" s="122"/>
    </row>
    <row r="4" spans="1:48" s="3" customFormat="1" ht="18" customHeight="1" x14ac:dyDescent="0.25">
      <c r="A4" s="123" t="s">
        <v>2</v>
      </c>
      <c r="B4" s="123"/>
      <c r="C4" s="123"/>
      <c r="D4" s="123"/>
      <c r="E4" s="123"/>
      <c r="F4" s="123"/>
      <c r="G4" s="123"/>
      <c r="H4" s="123"/>
      <c r="I4" s="123"/>
      <c r="J4" s="123"/>
      <c r="K4" s="123"/>
      <c r="L4" s="123"/>
      <c r="M4" s="123"/>
      <c r="N4" s="123"/>
      <c r="O4" s="123"/>
      <c r="P4" s="123"/>
      <c r="Q4" s="123"/>
      <c r="R4" s="123"/>
      <c r="S4" s="123"/>
      <c r="T4" s="123"/>
      <c r="U4" s="123"/>
      <c r="V4" s="123"/>
      <c r="W4" s="123"/>
      <c r="X4" s="123"/>
      <c r="Y4" s="123"/>
      <c r="Z4" s="123"/>
      <c r="AA4" s="123"/>
      <c r="AB4" s="123"/>
      <c r="AC4" s="123"/>
      <c r="AD4" s="123"/>
      <c r="AE4" s="123"/>
      <c r="AF4" s="123"/>
      <c r="AG4" s="123"/>
      <c r="AH4" s="123"/>
      <c r="AI4" s="123"/>
      <c r="AJ4" s="123"/>
      <c r="AK4" s="123"/>
      <c r="AL4" s="123"/>
      <c r="AM4" s="123"/>
      <c r="AN4" s="123"/>
      <c r="AO4" s="123"/>
      <c r="AP4" s="123"/>
      <c r="AQ4" s="123"/>
      <c r="AR4" s="123"/>
      <c r="AS4" s="123"/>
      <c r="AT4" s="123"/>
      <c r="AU4" s="123"/>
      <c r="AV4" s="123"/>
    </row>
    <row r="5" spans="1:48" x14ac:dyDescent="0.25">
      <c r="A5" s="124" t="s">
        <v>3</v>
      </c>
      <c r="B5" s="124"/>
      <c r="C5" s="124"/>
      <c r="D5" s="124"/>
      <c r="E5" s="124"/>
      <c r="F5" s="124"/>
      <c r="G5" s="124"/>
      <c r="H5" s="124"/>
      <c r="I5" s="124"/>
      <c r="J5" s="124"/>
      <c r="K5" s="124"/>
      <c r="L5" s="124"/>
      <c r="M5" s="124"/>
      <c r="N5" s="124"/>
      <c r="O5" s="124"/>
      <c r="P5" s="124"/>
      <c r="Q5" s="124"/>
      <c r="R5" s="124"/>
      <c r="S5" s="124"/>
      <c r="T5" s="124"/>
      <c r="U5" s="124"/>
      <c r="V5" s="124"/>
      <c r="W5" s="124"/>
      <c r="X5" s="124"/>
      <c r="Y5" s="124"/>
      <c r="Z5" s="124"/>
      <c r="AA5" s="124"/>
      <c r="AB5" s="124"/>
      <c r="AC5" s="124"/>
      <c r="AD5" s="124"/>
      <c r="AE5" s="124"/>
      <c r="AF5" s="124"/>
      <c r="AG5" s="124"/>
      <c r="AH5" s="124"/>
      <c r="AI5" s="124"/>
      <c r="AJ5" s="124"/>
      <c r="AK5" s="124"/>
      <c r="AL5" s="124"/>
      <c r="AM5" s="124"/>
      <c r="AN5" s="124"/>
      <c r="AO5" s="124"/>
      <c r="AP5" s="124"/>
      <c r="AQ5" s="124"/>
      <c r="AR5" s="124"/>
      <c r="AS5" s="124"/>
      <c r="AT5" s="124"/>
      <c r="AU5" s="124"/>
      <c r="AV5" s="124"/>
    </row>
    <row r="6" spans="1:48" ht="9.75" customHeight="1" x14ac:dyDescent="0.25">
      <c r="A6" s="17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</row>
    <row r="7" spans="1:48" s="8" customFormat="1" ht="12.75" x14ac:dyDescent="0.2">
      <c r="A7" s="7" t="s">
        <v>4</v>
      </c>
      <c r="E7" s="100" t="s">
        <v>5</v>
      </c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100"/>
      <c r="S7" s="100"/>
      <c r="T7" s="100"/>
      <c r="U7" s="100"/>
      <c r="V7" s="100"/>
      <c r="W7" s="100"/>
      <c r="X7" s="100"/>
      <c r="Y7" s="100"/>
      <c r="Z7" s="100"/>
      <c r="AA7" s="100"/>
      <c r="AB7" s="100"/>
      <c r="AC7" s="100"/>
      <c r="AD7" s="100"/>
      <c r="AE7" s="100"/>
      <c r="AF7" s="100"/>
      <c r="AG7" s="100"/>
      <c r="AH7" s="100"/>
      <c r="AI7" s="100"/>
      <c r="AJ7" s="100"/>
      <c r="AL7" s="15" t="s">
        <v>6</v>
      </c>
      <c r="AM7" s="100" t="s">
        <v>90</v>
      </c>
      <c r="AN7" s="100"/>
      <c r="AO7" s="100"/>
      <c r="AS7" s="15" t="s">
        <v>7</v>
      </c>
      <c r="AT7" s="8" t="s">
        <v>8</v>
      </c>
      <c r="AU7" s="9"/>
      <c r="AV7" s="9"/>
    </row>
    <row r="8" spans="1:48" s="8" customFormat="1" ht="12.75" x14ac:dyDescent="0.2">
      <c r="A8" s="7" t="s">
        <v>9</v>
      </c>
      <c r="D8" s="100" t="s">
        <v>10</v>
      </c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0"/>
      <c r="S8" s="100"/>
      <c r="T8" s="100"/>
      <c r="U8" s="100"/>
      <c r="V8" s="100"/>
      <c r="W8" s="100"/>
      <c r="X8" s="100"/>
      <c r="Y8" s="100"/>
      <c r="Z8" s="100"/>
      <c r="AA8" s="100"/>
      <c r="AB8" s="100"/>
      <c r="AC8" s="100"/>
      <c r="AD8" s="100"/>
      <c r="AE8" s="100"/>
      <c r="AF8" s="100"/>
      <c r="AG8" s="100"/>
      <c r="AH8" s="100"/>
      <c r="AI8" s="100"/>
      <c r="AJ8" s="100"/>
      <c r="AK8" s="100"/>
      <c r="AM8" s="99" t="s">
        <v>11</v>
      </c>
      <c r="AN8" s="99"/>
      <c r="AO8" s="8" t="s">
        <v>12</v>
      </c>
      <c r="AT8" s="4"/>
      <c r="AU8" s="9"/>
      <c r="AV8" s="9"/>
    </row>
    <row r="9" spans="1:48" s="8" customFormat="1" x14ac:dyDescent="0.25">
      <c r="A9" s="7" t="s">
        <v>13</v>
      </c>
      <c r="C9" s="126" t="s">
        <v>14</v>
      </c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0"/>
      <c r="S9" s="100"/>
      <c r="T9" s="100"/>
      <c r="U9" s="100"/>
      <c r="V9" s="100"/>
      <c r="W9" s="100"/>
      <c r="X9" s="100"/>
      <c r="Y9" s="100"/>
      <c r="Z9" s="100"/>
      <c r="AA9" s="100"/>
      <c r="AB9" s="100"/>
      <c r="AD9" s="99" t="s">
        <v>15</v>
      </c>
      <c r="AE9" s="99"/>
      <c r="AF9" s="100" t="s">
        <v>16</v>
      </c>
      <c r="AG9" s="100"/>
      <c r="AH9" s="100"/>
      <c r="AJ9" s="99" t="s">
        <v>17</v>
      </c>
      <c r="AK9" s="99"/>
      <c r="AL9" s="92" t="s">
        <v>74</v>
      </c>
      <c r="AM9" s="92"/>
      <c r="AN9" s="92"/>
      <c r="AO9" s="15" t="s">
        <v>19</v>
      </c>
      <c r="AP9" s="15">
        <v>2025</v>
      </c>
      <c r="AQ9" s="15"/>
      <c r="AR9" s="15"/>
      <c r="AS9" s="15"/>
      <c r="AT9" s="125"/>
      <c r="AU9" s="125"/>
      <c r="AV9" s="9"/>
    </row>
    <row r="10" spans="1:48" s="8" customFormat="1" ht="12.75" x14ac:dyDescent="0.2">
      <c r="A10" s="7"/>
      <c r="AD10" s="15"/>
      <c r="AE10" s="15"/>
      <c r="AJ10" s="15"/>
      <c r="AK10" s="15"/>
      <c r="AO10" s="15"/>
      <c r="AP10" s="15"/>
      <c r="AQ10" s="15"/>
      <c r="AR10" s="15"/>
      <c r="AS10" s="15"/>
      <c r="AT10" s="18"/>
      <c r="AU10" s="18"/>
      <c r="AV10" s="9"/>
    </row>
    <row r="11" spans="1:48" s="8" customFormat="1" ht="12.75" x14ac:dyDescent="0.2">
      <c r="A11" s="100" t="s">
        <v>20</v>
      </c>
      <c r="B11" s="100"/>
      <c r="C11" s="100"/>
      <c r="D11" s="100"/>
      <c r="E11" s="100"/>
      <c r="F11" s="100"/>
      <c r="G11" s="100"/>
      <c r="H11" s="100"/>
      <c r="I11" s="100"/>
      <c r="J11" s="100"/>
      <c r="K11" s="127" t="s">
        <v>21</v>
      </c>
      <c r="L11" s="127"/>
      <c r="M11" s="127"/>
      <c r="N11" s="127"/>
      <c r="O11" s="127"/>
      <c r="P11" s="127"/>
      <c r="Q11" s="127"/>
      <c r="R11" s="127"/>
      <c r="S11" s="127"/>
      <c r="T11" s="127"/>
      <c r="U11" s="127"/>
      <c r="V11" s="127"/>
      <c r="W11" s="127"/>
      <c r="X11" s="127"/>
      <c r="Y11" s="127"/>
      <c r="Z11" s="127"/>
      <c r="AA11" s="127"/>
      <c r="AB11" s="127"/>
      <c r="AC11" s="127"/>
      <c r="AD11" s="127"/>
      <c r="AE11" s="15"/>
      <c r="AH11" s="92"/>
      <c r="AI11" s="92"/>
      <c r="AJ11" s="92"/>
      <c r="AK11" s="92"/>
      <c r="AO11" s="15"/>
      <c r="AP11" s="15"/>
      <c r="AQ11" s="15"/>
      <c r="AR11" s="15"/>
      <c r="AS11" s="15"/>
      <c r="AT11" s="18"/>
      <c r="AU11" s="18"/>
      <c r="AV11" s="9"/>
    </row>
    <row r="12" spans="1:48" s="8" customFormat="1" ht="12.75" x14ac:dyDescent="0.2">
      <c r="A12" s="8" t="s">
        <v>22</v>
      </c>
      <c r="D12" s="92" t="s">
        <v>165</v>
      </c>
      <c r="E12" s="92"/>
      <c r="F12" s="92"/>
      <c r="G12" s="92"/>
      <c r="H12" s="92"/>
      <c r="I12" s="92"/>
      <c r="J12" s="92"/>
      <c r="K12" s="92"/>
      <c r="L12" s="92"/>
      <c r="M12" s="92"/>
      <c r="N12" s="92"/>
      <c r="O12" s="92"/>
      <c r="P12" s="92"/>
      <c r="Q12" s="92"/>
      <c r="R12" s="92"/>
      <c r="S12" s="92"/>
      <c r="T12" s="92"/>
      <c r="U12" s="92"/>
      <c r="V12" s="92"/>
      <c r="W12" s="92"/>
      <c r="X12" s="92"/>
      <c r="Y12" s="92"/>
      <c r="AD12" s="15"/>
      <c r="AE12" s="15"/>
      <c r="AJ12" s="15"/>
      <c r="AK12" s="15"/>
      <c r="AO12" s="15"/>
      <c r="AP12" s="15"/>
      <c r="AQ12" s="15"/>
      <c r="AR12" s="15"/>
      <c r="AS12" s="15"/>
      <c r="AT12" s="18"/>
      <c r="AU12" s="18"/>
      <c r="AV12" s="9"/>
    </row>
    <row r="14" spans="1:48" ht="27.75" customHeight="1" x14ac:dyDescent="0.25">
      <c r="A14" s="93" t="s">
        <v>23</v>
      </c>
      <c r="B14" s="94"/>
      <c r="C14" s="94"/>
      <c r="D14" s="95"/>
      <c r="E14" s="98" t="s">
        <v>24</v>
      </c>
      <c r="F14" s="98"/>
      <c r="G14" s="98"/>
      <c r="H14" s="93" t="s">
        <v>25</v>
      </c>
      <c r="I14" s="94"/>
      <c r="J14" s="94"/>
      <c r="K14" s="94"/>
      <c r="L14" s="94"/>
      <c r="M14" s="94"/>
      <c r="N14" s="94"/>
      <c r="O14" s="94"/>
      <c r="P14" s="94"/>
      <c r="Q14" s="94"/>
      <c r="R14" s="94"/>
      <c r="S14" s="94"/>
      <c r="T14" s="94"/>
      <c r="U14" s="94"/>
      <c r="V14" s="94"/>
      <c r="W14" s="94"/>
      <c r="X14" s="95"/>
      <c r="Y14" s="117" t="s">
        <v>26</v>
      </c>
      <c r="Z14" s="103" t="s">
        <v>27</v>
      </c>
      <c r="AA14" s="104"/>
      <c r="AB14" s="104"/>
      <c r="AC14" s="105"/>
      <c r="AD14" s="114" t="s">
        <v>28</v>
      </c>
      <c r="AE14" s="115"/>
      <c r="AF14" s="115"/>
      <c r="AG14" s="115"/>
      <c r="AH14" s="115"/>
      <c r="AI14" s="115"/>
      <c r="AJ14" s="115"/>
      <c r="AK14" s="115"/>
      <c r="AL14" s="115"/>
      <c r="AM14" s="115"/>
      <c r="AN14" s="115"/>
      <c r="AO14" s="116"/>
      <c r="AP14" s="103" t="s">
        <v>29</v>
      </c>
      <c r="AQ14" s="105"/>
      <c r="AR14" s="104" t="s">
        <v>30</v>
      </c>
      <c r="AS14" s="105"/>
      <c r="AT14" s="128" t="s">
        <v>31</v>
      </c>
      <c r="AU14" s="128"/>
      <c r="AV14" s="128"/>
    </row>
    <row r="15" spans="1:48" ht="17.25" customHeight="1" x14ac:dyDescent="0.25">
      <c r="A15" s="93"/>
      <c r="B15" s="94"/>
      <c r="C15" s="94"/>
      <c r="D15" s="95"/>
      <c r="E15" s="98"/>
      <c r="F15" s="98"/>
      <c r="G15" s="98"/>
      <c r="H15" s="96" t="s">
        <v>32</v>
      </c>
      <c r="I15" s="101" t="s">
        <v>33</v>
      </c>
      <c r="J15" s="102"/>
      <c r="K15" s="96" t="s">
        <v>34</v>
      </c>
      <c r="L15" s="96" t="s">
        <v>35</v>
      </c>
      <c r="M15" s="96" t="s">
        <v>36</v>
      </c>
      <c r="N15" s="96" t="s">
        <v>37</v>
      </c>
      <c r="O15" s="96" t="s">
        <v>38</v>
      </c>
      <c r="P15" s="96" t="s">
        <v>39</v>
      </c>
      <c r="Q15" s="96" t="s">
        <v>40</v>
      </c>
      <c r="R15" s="96" t="s">
        <v>41</v>
      </c>
      <c r="S15" s="96" t="s">
        <v>42</v>
      </c>
      <c r="T15" s="96" t="s">
        <v>43</v>
      </c>
      <c r="U15" s="96" t="s">
        <v>44</v>
      </c>
      <c r="V15" s="96" t="s">
        <v>45</v>
      </c>
      <c r="W15" s="96" t="s">
        <v>46</v>
      </c>
      <c r="X15" s="96" t="s">
        <v>47</v>
      </c>
      <c r="Y15" s="118"/>
      <c r="Z15" s="106"/>
      <c r="AA15" s="107"/>
      <c r="AB15" s="107"/>
      <c r="AC15" s="108"/>
      <c r="AD15" s="112" t="s">
        <v>48</v>
      </c>
      <c r="AE15" s="113"/>
      <c r="AF15" s="113"/>
      <c r="AG15" s="113"/>
      <c r="AH15" s="113"/>
      <c r="AI15" s="113"/>
      <c r="AJ15" s="113"/>
      <c r="AK15" s="113"/>
      <c r="AL15" s="128" t="s">
        <v>49</v>
      </c>
      <c r="AM15" s="128"/>
      <c r="AN15" s="128"/>
      <c r="AO15" s="128"/>
      <c r="AP15" s="109"/>
      <c r="AQ15" s="111"/>
      <c r="AR15" s="110"/>
      <c r="AS15" s="111"/>
      <c r="AT15" s="128"/>
      <c r="AU15" s="128"/>
      <c r="AV15" s="128"/>
    </row>
    <row r="16" spans="1:48" ht="26.25" customHeight="1" x14ac:dyDescent="0.25">
      <c r="A16" s="93"/>
      <c r="B16" s="94"/>
      <c r="C16" s="94"/>
      <c r="D16" s="95"/>
      <c r="E16" s="98"/>
      <c r="F16" s="98"/>
      <c r="G16" s="98"/>
      <c r="H16" s="97"/>
      <c r="I16" s="5" t="s">
        <v>50</v>
      </c>
      <c r="J16" s="5" t="s">
        <v>51</v>
      </c>
      <c r="K16" s="97"/>
      <c r="L16" s="97"/>
      <c r="M16" s="97"/>
      <c r="N16" s="97"/>
      <c r="O16" s="97"/>
      <c r="P16" s="97"/>
      <c r="Q16" s="97"/>
      <c r="R16" s="97"/>
      <c r="S16" s="97"/>
      <c r="T16" s="97"/>
      <c r="U16" s="97"/>
      <c r="V16" s="97"/>
      <c r="W16" s="97"/>
      <c r="X16" s="97"/>
      <c r="Y16" s="119"/>
      <c r="Z16" s="109"/>
      <c r="AA16" s="110"/>
      <c r="AB16" s="110"/>
      <c r="AC16" s="111"/>
      <c r="AD16" s="109" t="s">
        <v>52</v>
      </c>
      <c r="AE16" s="110"/>
      <c r="AF16" s="111"/>
      <c r="AG16" s="14" t="s">
        <v>53</v>
      </c>
      <c r="AH16" s="109" t="s">
        <v>54</v>
      </c>
      <c r="AI16" s="110"/>
      <c r="AJ16" s="111"/>
      <c r="AK16" s="14" t="s">
        <v>55</v>
      </c>
      <c r="AL16" s="114" t="s">
        <v>56</v>
      </c>
      <c r="AM16" s="115"/>
      <c r="AN16" s="116"/>
      <c r="AO16" s="16" t="s">
        <v>57</v>
      </c>
      <c r="AP16" s="16" t="s">
        <v>58</v>
      </c>
      <c r="AQ16" s="19" t="s">
        <v>59</v>
      </c>
      <c r="AR16" s="16" t="s">
        <v>58</v>
      </c>
      <c r="AS16" s="19" t="s">
        <v>59</v>
      </c>
      <c r="AT16" s="128"/>
      <c r="AU16" s="128"/>
      <c r="AV16" s="128"/>
    </row>
    <row r="17" spans="1:48" s="11" customFormat="1" ht="13.5" customHeight="1" x14ac:dyDescent="0.25">
      <c r="A17" s="69" t="s">
        <v>99</v>
      </c>
      <c r="B17" s="69"/>
      <c r="C17" s="69"/>
      <c r="D17" s="69"/>
      <c r="E17" s="130" t="s">
        <v>152</v>
      </c>
      <c r="F17" s="130"/>
      <c r="G17" s="130"/>
      <c r="H17" s="25">
        <v>46</v>
      </c>
      <c r="I17" s="25"/>
      <c r="J17" s="25"/>
      <c r="K17" s="25"/>
      <c r="L17" s="25"/>
      <c r="M17" s="25"/>
      <c r="N17" s="25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27" t="s">
        <v>60</v>
      </c>
      <c r="Z17" s="66">
        <v>0</v>
      </c>
      <c r="AA17" s="67"/>
      <c r="AB17" s="67"/>
      <c r="AC17" s="68"/>
      <c r="AD17" s="76">
        <v>734.38</v>
      </c>
      <c r="AE17" s="77"/>
      <c r="AF17" s="78"/>
      <c r="AG17" s="28" t="s">
        <v>61</v>
      </c>
      <c r="AH17" s="82"/>
      <c r="AI17" s="82"/>
      <c r="AJ17" s="82"/>
      <c r="AK17" s="30"/>
      <c r="AL17" s="76">
        <v>734.38</v>
      </c>
      <c r="AM17" s="77"/>
      <c r="AN17" s="78"/>
      <c r="AO17" s="31"/>
      <c r="AP17" s="29"/>
      <c r="AQ17" s="29"/>
      <c r="AR17" s="29"/>
      <c r="AS17" s="29"/>
      <c r="AT17" s="88">
        <v>0</v>
      </c>
      <c r="AU17" s="89"/>
      <c r="AV17" s="90"/>
    </row>
    <row r="18" spans="1:48" s="11" customFormat="1" ht="13.5" customHeight="1" x14ac:dyDescent="0.25">
      <c r="A18" s="69" t="s">
        <v>99</v>
      </c>
      <c r="B18" s="69"/>
      <c r="C18" s="69"/>
      <c r="D18" s="69"/>
      <c r="E18" s="131" t="s">
        <v>112</v>
      </c>
      <c r="F18" s="131"/>
      <c r="G18" s="131"/>
      <c r="H18" s="25">
        <v>46</v>
      </c>
      <c r="I18" s="25"/>
      <c r="J18" s="25"/>
      <c r="K18" s="25"/>
      <c r="L18" s="25"/>
      <c r="M18" s="25"/>
      <c r="N18" s="25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27" t="s">
        <v>60</v>
      </c>
      <c r="Z18" s="66">
        <v>0</v>
      </c>
      <c r="AA18" s="67"/>
      <c r="AB18" s="67"/>
      <c r="AC18" s="68"/>
      <c r="AD18" s="70">
        <v>21</v>
      </c>
      <c r="AE18" s="71"/>
      <c r="AF18" s="72"/>
      <c r="AG18" s="32" t="s">
        <v>113</v>
      </c>
      <c r="AH18" s="66"/>
      <c r="AI18" s="67"/>
      <c r="AJ18" s="68"/>
      <c r="AK18" s="30"/>
      <c r="AL18" s="70">
        <v>21</v>
      </c>
      <c r="AM18" s="71"/>
      <c r="AN18" s="72"/>
      <c r="AO18" s="31"/>
      <c r="AP18" s="29"/>
      <c r="AQ18" s="29"/>
      <c r="AR18" s="29"/>
      <c r="AS18" s="29"/>
      <c r="AT18" s="88">
        <v>0</v>
      </c>
      <c r="AU18" s="89"/>
      <c r="AV18" s="90"/>
    </row>
    <row r="19" spans="1:48" s="11" customFormat="1" ht="13.5" customHeight="1" x14ac:dyDescent="0.25">
      <c r="A19" s="69" t="s">
        <v>99</v>
      </c>
      <c r="B19" s="69"/>
      <c r="C19" s="69"/>
      <c r="D19" s="69"/>
      <c r="E19" s="132" t="s">
        <v>166</v>
      </c>
      <c r="F19" s="133"/>
      <c r="G19" s="134"/>
      <c r="H19" s="25">
        <v>46</v>
      </c>
      <c r="I19" s="25"/>
      <c r="J19" s="25"/>
      <c r="K19" s="25"/>
      <c r="L19" s="25"/>
      <c r="M19" s="25"/>
      <c r="N19" s="25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27" t="s">
        <v>60</v>
      </c>
      <c r="Z19" s="66">
        <v>0</v>
      </c>
      <c r="AA19" s="67"/>
      <c r="AB19" s="67"/>
      <c r="AC19" s="68"/>
      <c r="AD19" s="76">
        <v>2328.0100000000002</v>
      </c>
      <c r="AE19" s="77"/>
      <c r="AF19" s="78"/>
      <c r="AG19" s="28" t="s">
        <v>130</v>
      </c>
      <c r="AH19" s="66"/>
      <c r="AI19" s="67"/>
      <c r="AJ19" s="68"/>
      <c r="AK19" s="30"/>
      <c r="AL19" s="76">
        <v>2328.0100000000002</v>
      </c>
      <c r="AM19" s="77"/>
      <c r="AN19" s="78"/>
      <c r="AO19" s="31"/>
      <c r="AP19" s="29"/>
      <c r="AQ19" s="29"/>
      <c r="AR19" s="29"/>
      <c r="AS19" s="29"/>
      <c r="AT19" s="63">
        <v>0</v>
      </c>
      <c r="AU19" s="64"/>
      <c r="AV19" s="65"/>
    </row>
    <row r="20" spans="1:48" s="11" customFormat="1" ht="13.5" customHeight="1" x14ac:dyDescent="0.25">
      <c r="A20" s="69" t="s">
        <v>99</v>
      </c>
      <c r="B20" s="69"/>
      <c r="C20" s="69"/>
      <c r="D20" s="69"/>
      <c r="E20" s="132" t="s">
        <v>167</v>
      </c>
      <c r="F20" s="133"/>
      <c r="G20" s="134"/>
      <c r="H20" s="25">
        <v>46</v>
      </c>
      <c r="I20" s="25"/>
      <c r="J20" s="25"/>
      <c r="K20" s="25"/>
      <c r="L20" s="25"/>
      <c r="M20" s="25"/>
      <c r="N20" s="25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27" t="s">
        <v>60</v>
      </c>
      <c r="Z20" s="66">
        <v>40</v>
      </c>
      <c r="AA20" s="67"/>
      <c r="AB20" s="67"/>
      <c r="AC20" s="68"/>
      <c r="AD20" s="70">
        <v>38</v>
      </c>
      <c r="AE20" s="71"/>
      <c r="AF20" s="72"/>
      <c r="AG20" s="55" t="s">
        <v>130</v>
      </c>
      <c r="AH20" s="66"/>
      <c r="AI20" s="67"/>
      <c r="AJ20" s="68"/>
      <c r="AK20" s="30"/>
      <c r="AL20" s="70">
        <v>78</v>
      </c>
      <c r="AM20" s="71"/>
      <c r="AN20" s="72"/>
      <c r="AO20" s="31"/>
      <c r="AP20" s="29"/>
      <c r="AQ20" s="29"/>
      <c r="AR20" s="29"/>
      <c r="AS20" s="29"/>
      <c r="AT20" s="63">
        <v>0</v>
      </c>
      <c r="AU20" s="64"/>
      <c r="AV20" s="65"/>
    </row>
    <row r="21" spans="1:48" s="11" customFormat="1" ht="13.5" customHeight="1" x14ac:dyDescent="0.25">
      <c r="A21" s="69" t="s">
        <v>100</v>
      </c>
      <c r="B21" s="69"/>
      <c r="C21" s="69"/>
      <c r="D21" s="69"/>
      <c r="E21" s="135" t="s">
        <v>142</v>
      </c>
      <c r="F21" s="131"/>
      <c r="G21" s="131"/>
      <c r="H21" s="25"/>
      <c r="I21" s="25"/>
      <c r="J21" s="25"/>
      <c r="K21" s="25">
        <v>62</v>
      </c>
      <c r="L21" s="25"/>
      <c r="M21" s="25"/>
      <c r="N21" s="25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27" t="s">
        <v>60</v>
      </c>
      <c r="Z21" s="66">
        <v>0</v>
      </c>
      <c r="AA21" s="67"/>
      <c r="AB21" s="67"/>
      <c r="AC21" s="68"/>
      <c r="AD21" s="70">
        <v>34.9</v>
      </c>
      <c r="AE21" s="71"/>
      <c r="AF21" s="72"/>
      <c r="AG21" s="28" t="s">
        <v>143</v>
      </c>
      <c r="AH21" s="66"/>
      <c r="AI21" s="67"/>
      <c r="AJ21" s="68"/>
      <c r="AK21" s="30"/>
      <c r="AL21" s="70">
        <v>0</v>
      </c>
      <c r="AM21" s="71"/>
      <c r="AN21" s="72"/>
      <c r="AO21" s="56">
        <v>34.9</v>
      </c>
      <c r="AP21" s="129"/>
      <c r="AQ21" s="129"/>
      <c r="AR21" s="29"/>
      <c r="AS21" s="29"/>
      <c r="AT21" s="63">
        <v>0</v>
      </c>
      <c r="AU21" s="64"/>
      <c r="AV21" s="65"/>
    </row>
    <row r="22" spans="1:48" s="11" customFormat="1" ht="13.5" customHeight="1" x14ac:dyDescent="0.25">
      <c r="A22" s="69" t="s">
        <v>100</v>
      </c>
      <c r="B22" s="69"/>
      <c r="C22" s="69"/>
      <c r="D22" s="69"/>
      <c r="E22" s="136" t="s">
        <v>161</v>
      </c>
      <c r="F22" s="137"/>
      <c r="G22" s="138"/>
      <c r="H22" s="25"/>
      <c r="I22" s="25"/>
      <c r="J22" s="25"/>
      <c r="K22" s="25">
        <v>62</v>
      </c>
      <c r="L22" s="25"/>
      <c r="M22" s="25"/>
      <c r="N22" s="25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27" t="s">
        <v>60</v>
      </c>
      <c r="Z22" s="66">
        <v>0</v>
      </c>
      <c r="AA22" s="67"/>
      <c r="AB22" s="67"/>
      <c r="AC22" s="68"/>
      <c r="AD22" s="70"/>
      <c r="AE22" s="71"/>
      <c r="AF22" s="72"/>
      <c r="AG22" s="28" t="s">
        <v>162</v>
      </c>
      <c r="AH22" s="66"/>
      <c r="AI22" s="67"/>
      <c r="AJ22" s="68"/>
      <c r="AK22" s="30"/>
      <c r="AL22" s="70">
        <v>0</v>
      </c>
      <c r="AM22" s="71"/>
      <c r="AN22" s="72"/>
      <c r="AO22" s="31"/>
      <c r="AP22" s="29"/>
      <c r="AQ22" s="29"/>
      <c r="AR22" s="29"/>
      <c r="AS22" s="29"/>
      <c r="AT22" s="63">
        <v>0</v>
      </c>
      <c r="AU22" s="64"/>
      <c r="AV22" s="65"/>
    </row>
    <row r="23" spans="1:48" s="11" customFormat="1" x14ac:dyDescent="0.25">
      <c r="A23" s="69" t="s">
        <v>100</v>
      </c>
      <c r="B23" s="69"/>
      <c r="C23" s="69"/>
      <c r="D23" s="69"/>
      <c r="E23" s="139" t="s">
        <v>95</v>
      </c>
      <c r="F23" s="140"/>
      <c r="G23" s="141"/>
      <c r="H23" s="25"/>
      <c r="I23" s="25"/>
      <c r="J23" s="25"/>
      <c r="K23" s="25">
        <v>60</v>
      </c>
      <c r="L23" s="25"/>
      <c r="M23" s="25"/>
      <c r="N23" s="25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27" t="s">
        <v>60</v>
      </c>
      <c r="Z23" s="66">
        <v>0</v>
      </c>
      <c r="AA23" s="67"/>
      <c r="AB23" s="67"/>
      <c r="AC23" s="68"/>
      <c r="AD23" s="70">
        <v>6568.83</v>
      </c>
      <c r="AE23" s="71"/>
      <c r="AF23" s="72"/>
      <c r="AG23" s="33" t="s">
        <v>61</v>
      </c>
      <c r="AH23" s="66"/>
      <c r="AI23" s="67"/>
      <c r="AJ23" s="68"/>
      <c r="AK23" s="30"/>
      <c r="AL23" s="70">
        <v>6568.83</v>
      </c>
      <c r="AM23" s="71"/>
      <c r="AN23" s="72"/>
      <c r="AO23" s="31"/>
      <c r="AP23" s="29"/>
      <c r="AQ23" s="29"/>
      <c r="AR23" s="31"/>
      <c r="AS23" s="29"/>
      <c r="AT23" s="88">
        <v>0</v>
      </c>
      <c r="AU23" s="89"/>
      <c r="AV23" s="90"/>
    </row>
    <row r="24" spans="1:48" s="11" customFormat="1" x14ac:dyDescent="0.25">
      <c r="A24" s="69" t="s">
        <v>100</v>
      </c>
      <c r="B24" s="69"/>
      <c r="C24" s="69"/>
      <c r="D24" s="69"/>
      <c r="E24" s="139" t="s">
        <v>115</v>
      </c>
      <c r="F24" s="140"/>
      <c r="G24" s="141"/>
      <c r="H24" s="25"/>
      <c r="I24" s="25"/>
      <c r="J24" s="25"/>
      <c r="K24" s="25">
        <v>60</v>
      </c>
      <c r="L24" s="25"/>
      <c r="M24" s="25"/>
      <c r="N24" s="25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27" t="s">
        <v>60</v>
      </c>
      <c r="Z24" s="66">
        <v>0</v>
      </c>
      <c r="AA24" s="67"/>
      <c r="AB24" s="67"/>
      <c r="AC24" s="68"/>
      <c r="AD24" s="76"/>
      <c r="AE24" s="77"/>
      <c r="AF24" s="78"/>
      <c r="AG24" s="33" t="s">
        <v>114</v>
      </c>
      <c r="AH24" s="66"/>
      <c r="AI24" s="67"/>
      <c r="AJ24" s="68"/>
      <c r="AK24" s="30"/>
      <c r="AL24" s="76">
        <v>0</v>
      </c>
      <c r="AM24" s="77"/>
      <c r="AN24" s="78"/>
      <c r="AO24" s="31"/>
      <c r="AP24" s="29"/>
      <c r="AQ24" s="29"/>
      <c r="AR24" s="31"/>
      <c r="AS24" s="29"/>
      <c r="AT24" s="88">
        <v>0</v>
      </c>
      <c r="AU24" s="89"/>
      <c r="AV24" s="90"/>
    </row>
    <row r="25" spans="1:48" s="11" customFormat="1" x14ac:dyDescent="0.25">
      <c r="A25" s="69" t="s">
        <v>100</v>
      </c>
      <c r="B25" s="69"/>
      <c r="C25" s="69"/>
      <c r="D25" s="69"/>
      <c r="E25" s="139" t="s">
        <v>117</v>
      </c>
      <c r="F25" s="140"/>
      <c r="G25" s="141"/>
      <c r="H25" s="25"/>
      <c r="I25" s="25"/>
      <c r="J25" s="25"/>
      <c r="K25" s="25">
        <v>60</v>
      </c>
      <c r="L25" s="25"/>
      <c r="M25" s="25"/>
      <c r="N25" s="25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27" t="s">
        <v>60</v>
      </c>
      <c r="Z25" s="66">
        <v>0</v>
      </c>
      <c r="AA25" s="67"/>
      <c r="AB25" s="67"/>
      <c r="AC25" s="68"/>
      <c r="AD25" s="70"/>
      <c r="AE25" s="71"/>
      <c r="AF25" s="72"/>
      <c r="AG25" s="33" t="s">
        <v>116</v>
      </c>
      <c r="AH25" s="66"/>
      <c r="AI25" s="67"/>
      <c r="AJ25" s="68"/>
      <c r="AK25" s="30"/>
      <c r="AL25" s="70">
        <v>0</v>
      </c>
      <c r="AM25" s="71"/>
      <c r="AN25" s="72"/>
      <c r="AO25" s="31"/>
      <c r="AP25" s="29"/>
      <c r="AQ25" s="29"/>
      <c r="AR25" s="31"/>
      <c r="AS25" s="29"/>
      <c r="AT25" s="88">
        <v>0</v>
      </c>
      <c r="AU25" s="89"/>
      <c r="AV25" s="90"/>
    </row>
    <row r="26" spans="1:48" s="11" customFormat="1" x14ac:dyDescent="0.25">
      <c r="A26" s="69" t="s">
        <v>100</v>
      </c>
      <c r="B26" s="69"/>
      <c r="C26" s="69"/>
      <c r="D26" s="69"/>
      <c r="E26" s="139" t="s">
        <v>118</v>
      </c>
      <c r="F26" s="140"/>
      <c r="G26" s="141"/>
      <c r="H26" s="25"/>
      <c r="I26" s="25"/>
      <c r="J26" s="25"/>
      <c r="K26" s="25">
        <v>60</v>
      </c>
      <c r="L26" s="25"/>
      <c r="M26" s="25"/>
      <c r="N26" s="25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27" t="s">
        <v>60</v>
      </c>
      <c r="Z26" s="66">
        <v>0</v>
      </c>
      <c r="AA26" s="67"/>
      <c r="AB26" s="67"/>
      <c r="AC26" s="68"/>
      <c r="AD26" s="76"/>
      <c r="AE26" s="77"/>
      <c r="AF26" s="78"/>
      <c r="AG26" s="32" t="s">
        <v>113</v>
      </c>
      <c r="AH26" s="66"/>
      <c r="AI26" s="67"/>
      <c r="AJ26" s="68"/>
      <c r="AK26" s="30"/>
      <c r="AL26" s="76">
        <v>0</v>
      </c>
      <c r="AM26" s="77"/>
      <c r="AN26" s="78"/>
      <c r="AO26" s="31"/>
      <c r="AP26" s="29"/>
      <c r="AQ26" s="29"/>
      <c r="AR26" s="31"/>
      <c r="AS26" s="29"/>
      <c r="AT26" s="60">
        <v>0</v>
      </c>
      <c r="AU26" s="61"/>
      <c r="AV26" s="62"/>
    </row>
    <row r="27" spans="1:48" s="11" customFormat="1" x14ac:dyDescent="0.25">
      <c r="A27" s="69" t="s">
        <v>100</v>
      </c>
      <c r="B27" s="69"/>
      <c r="C27" s="69"/>
      <c r="D27" s="69"/>
      <c r="E27" s="139" t="s">
        <v>95</v>
      </c>
      <c r="F27" s="140"/>
      <c r="G27" s="141"/>
      <c r="H27" s="25"/>
      <c r="I27" s="25"/>
      <c r="J27" s="25"/>
      <c r="K27" s="25">
        <v>60</v>
      </c>
      <c r="L27" s="25"/>
      <c r="M27" s="25"/>
      <c r="N27" s="25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27" t="s">
        <v>60</v>
      </c>
      <c r="Z27" s="66">
        <v>40</v>
      </c>
      <c r="AA27" s="67"/>
      <c r="AB27" s="67"/>
      <c r="AC27" s="68"/>
      <c r="AD27" s="70"/>
      <c r="AE27" s="71"/>
      <c r="AF27" s="72"/>
      <c r="AG27" s="55" t="s">
        <v>130</v>
      </c>
      <c r="AH27" s="66"/>
      <c r="AI27" s="67"/>
      <c r="AJ27" s="68"/>
      <c r="AK27" s="30"/>
      <c r="AL27" s="70">
        <v>40</v>
      </c>
      <c r="AM27" s="71"/>
      <c r="AN27" s="72"/>
      <c r="AO27" s="31"/>
      <c r="AP27" s="29"/>
      <c r="AQ27" s="29"/>
      <c r="AR27" s="31"/>
      <c r="AS27" s="29"/>
      <c r="AT27" s="60">
        <v>0</v>
      </c>
      <c r="AU27" s="61"/>
      <c r="AV27" s="62"/>
    </row>
    <row r="28" spans="1:48" s="11" customFormat="1" x14ac:dyDescent="0.25">
      <c r="A28" s="73" t="s">
        <v>101</v>
      </c>
      <c r="B28" s="74"/>
      <c r="C28" s="74"/>
      <c r="D28" s="75"/>
      <c r="E28" s="139" t="s">
        <v>119</v>
      </c>
      <c r="F28" s="140"/>
      <c r="G28" s="141"/>
      <c r="H28" s="26"/>
      <c r="I28" s="25"/>
      <c r="J28" s="25">
        <v>19</v>
      </c>
      <c r="K28" s="25"/>
      <c r="L28" s="25">
        <v>16</v>
      </c>
      <c r="M28" s="25"/>
      <c r="N28" s="25">
        <v>10</v>
      </c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27" t="s">
        <v>60</v>
      </c>
      <c r="Z28" s="66">
        <v>0</v>
      </c>
      <c r="AA28" s="67"/>
      <c r="AB28" s="67"/>
      <c r="AC28" s="68"/>
      <c r="AD28" s="76"/>
      <c r="AE28" s="77"/>
      <c r="AF28" s="78"/>
      <c r="AG28" s="33" t="s">
        <v>116</v>
      </c>
      <c r="AH28" s="66"/>
      <c r="AI28" s="67"/>
      <c r="AJ28" s="68"/>
      <c r="AK28" s="30"/>
      <c r="AL28" s="83">
        <v>0</v>
      </c>
      <c r="AM28" s="83"/>
      <c r="AN28" s="83"/>
      <c r="AO28" s="31"/>
      <c r="AP28" s="29"/>
      <c r="AQ28" s="29"/>
      <c r="AR28" s="31"/>
      <c r="AS28" s="29"/>
      <c r="AT28" s="63">
        <v>0</v>
      </c>
      <c r="AU28" s="64"/>
      <c r="AV28" s="65"/>
    </row>
    <row r="29" spans="1:48" s="11" customFormat="1" x14ac:dyDescent="0.25">
      <c r="A29" s="73" t="s">
        <v>101</v>
      </c>
      <c r="B29" s="74"/>
      <c r="C29" s="74"/>
      <c r="D29" s="75"/>
      <c r="E29" s="142" t="s">
        <v>140</v>
      </c>
      <c r="F29" s="143"/>
      <c r="G29" s="144"/>
      <c r="H29" s="26"/>
      <c r="I29" s="25"/>
      <c r="J29" s="25">
        <v>19</v>
      </c>
      <c r="K29" s="25"/>
      <c r="L29" s="25">
        <v>18</v>
      </c>
      <c r="M29" s="25"/>
      <c r="N29" s="25">
        <v>10</v>
      </c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27" t="s">
        <v>60</v>
      </c>
      <c r="Z29" s="66">
        <v>219</v>
      </c>
      <c r="AA29" s="67"/>
      <c r="AB29" s="67"/>
      <c r="AC29" s="68"/>
      <c r="AD29" s="76">
        <v>1462.93</v>
      </c>
      <c r="AE29" s="77"/>
      <c r="AF29" s="78"/>
      <c r="AG29" s="33" t="s">
        <v>141</v>
      </c>
      <c r="AH29" s="66"/>
      <c r="AI29" s="67"/>
      <c r="AJ29" s="68"/>
      <c r="AK29" s="30"/>
      <c r="AL29" s="76">
        <v>1681.93</v>
      </c>
      <c r="AM29" s="77"/>
      <c r="AN29" s="78"/>
      <c r="AO29" s="31"/>
      <c r="AP29" s="29"/>
      <c r="AQ29" s="29"/>
      <c r="AR29" s="31"/>
      <c r="AS29" s="29"/>
      <c r="AT29" s="63">
        <v>0</v>
      </c>
      <c r="AU29" s="64"/>
      <c r="AV29" s="65"/>
    </row>
    <row r="30" spans="1:48" s="11" customFormat="1" x14ac:dyDescent="0.25">
      <c r="A30" s="73" t="s">
        <v>101</v>
      </c>
      <c r="B30" s="74"/>
      <c r="C30" s="74"/>
      <c r="D30" s="75"/>
      <c r="E30" s="139" t="s">
        <v>121</v>
      </c>
      <c r="F30" s="140"/>
      <c r="G30" s="141"/>
      <c r="H30" s="26"/>
      <c r="I30" s="25"/>
      <c r="J30" s="25">
        <v>19</v>
      </c>
      <c r="K30" s="25"/>
      <c r="L30" s="25">
        <v>16</v>
      </c>
      <c r="M30" s="25"/>
      <c r="N30" s="25">
        <v>10</v>
      </c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27" t="s">
        <v>60</v>
      </c>
      <c r="Z30" s="66">
        <v>0</v>
      </c>
      <c r="AA30" s="67"/>
      <c r="AB30" s="67"/>
      <c r="AC30" s="68"/>
      <c r="AD30" s="70"/>
      <c r="AE30" s="71"/>
      <c r="AF30" s="72"/>
      <c r="AG30" s="55" t="s">
        <v>120</v>
      </c>
      <c r="AH30" s="66"/>
      <c r="AI30" s="67"/>
      <c r="AJ30" s="68"/>
      <c r="AK30" s="30"/>
      <c r="AL30" s="70">
        <v>0</v>
      </c>
      <c r="AM30" s="71"/>
      <c r="AN30" s="72"/>
      <c r="AO30" s="31"/>
      <c r="AP30" s="29"/>
      <c r="AQ30" s="29"/>
      <c r="AR30" s="31"/>
      <c r="AS30" s="29"/>
      <c r="AT30" s="60">
        <v>0</v>
      </c>
      <c r="AU30" s="61"/>
      <c r="AV30" s="62"/>
    </row>
    <row r="31" spans="1:48" s="11" customFormat="1" x14ac:dyDescent="0.25">
      <c r="A31" s="73" t="s">
        <v>101</v>
      </c>
      <c r="B31" s="74"/>
      <c r="C31" s="74"/>
      <c r="D31" s="75"/>
      <c r="E31" s="139" t="s">
        <v>110</v>
      </c>
      <c r="F31" s="140"/>
      <c r="G31" s="141"/>
      <c r="H31" s="26"/>
      <c r="I31" s="25"/>
      <c r="J31" s="25">
        <v>20</v>
      </c>
      <c r="K31" s="25"/>
      <c r="L31" s="25">
        <v>16</v>
      </c>
      <c r="M31" s="25"/>
      <c r="N31" s="25">
        <v>10</v>
      </c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27" t="s">
        <v>60</v>
      </c>
      <c r="Z31" s="66">
        <v>0</v>
      </c>
      <c r="AA31" s="67"/>
      <c r="AB31" s="67"/>
      <c r="AC31" s="68"/>
      <c r="AD31" s="70">
        <v>359.96</v>
      </c>
      <c r="AE31" s="71"/>
      <c r="AF31" s="72"/>
      <c r="AG31" s="33" t="s">
        <v>61</v>
      </c>
      <c r="AH31" s="66"/>
      <c r="AI31" s="67"/>
      <c r="AJ31" s="68"/>
      <c r="AK31" s="30"/>
      <c r="AL31" s="70">
        <v>359.96</v>
      </c>
      <c r="AM31" s="71"/>
      <c r="AN31" s="72"/>
      <c r="AO31" s="31"/>
      <c r="AP31" s="29"/>
      <c r="AQ31" s="29"/>
      <c r="AR31" s="31"/>
      <c r="AS31" s="29"/>
      <c r="AT31" s="60">
        <v>0</v>
      </c>
      <c r="AU31" s="61"/>
      <c r="AV31" s="62"/>
    </row>
    <row r="32" spans="1:48" s="11" customFormat="1" x14ac:dyDescent="0.25">
      <c r="A32" s="69" t="s">
        <v>102</v>
      </c>
      <c r="B32" s="69"/>
      <c r="C32" s="69"/>
      <c r="D32" s="69"/>
      <c r="E32" s="139" t="s">
        <v>122</v>
      </c>
      <c r="F32" s="140"/>
      <c r="G32" s="141"/>
      <c r="H32" s="25"/>
      <c r="I32" s="25"/>
      <c r="J32" s="25">
        <v>46</v>
      </c>
      <c r="K32" s="25"/>
      <c r="L32" s="25">
        <v>10</v>
      </c>
      <c r="M32" s="25"/>
      <c r="N32" s="25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27" t="s">
        <v>60</v>
      </c>
      <c r="Z32" s="66">
        <v>0</v>
      </c>
      <c r="AA32" s="67"/>
      <c r="AB32" s="67"/>
      <c r="AC32" s="68"/>
      <c r="AD32" s="76"/>
      <c r="AE32" s="77"/>
      <c r="AF32" s="78"/>
      <c r="AG32" s="33" t="s">
        <v>114</v>
      </c>
      <c r="AH32" s="66"/>
      <c r="AI32" s="67"/>
      <c r="AJ32" s="68"/>
      <c r="AK32" s="30"/>
      <c r="AL32" s="76">
        <v>0</v>
      </c>
      <c r="AM32" s="77"/>
      <c r="AN32" s="78"/>
      <c r="AO32" s="31"/>
      <c r="AP32" s="29"/>
      <c r="AQ32" s="34"/>
      <c r="AR32" s="31"/>
      <c r="AS32" s="29"/>
      <c r="AT32" s="88">
        <v>0</v>
      </c>
      <c r="AU32" s="89"/>
      <c r="AV32" s="90"/>
    </row>
    <row r="33" spans="1:48" s="11" customFormat="1" x14ac:dyDescent="0.25">
      <c r="A33" s="69" t="s">
        <v>102</v>
      </c>
      <c r="B33" s="69"/>
      <c r="C33" s="69"/>
      <c r="D33" s="69"/>
      <c r="E33" s="139" t="s">
        <v>123</v>
      </c>
      <c r="F33" s="140"/>
      <c r="G33" s="141"/>
      <c r="H33" s="25"/>
      <c r="I33" s="25"/>
      <c r="J33" s="25">
        <v>46</v>
      </c>
      <c r="K33" s="25"/>
      <c r="L33" s="25">
        <v>10</v>
      </c>
      <c r="M33" s="25"/>
      <c r="N33" s="25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27" t="s">
        <v>60</v>
      </c>
      <c r="Z33" s="66">
        <v>0</v>
      </c>
      <c r="AA33" s="67"/>
      <c r="AB33" s="67"/>
      <c r="AC33" s="68"/>
      <c r="AD33" s="70"/>
      <c r="AE33" s="71"/>
      <c r="AF33" s="72"/>
      <c r="AG33" s="55" t="s">
        <v>120</v>
      </c>
      <c r="AH33" s="82"/>
      <c r="AI33" s="82"/>
      <c r="AJ33" s="82"/>
      <c r="AK33" s="30"/>
      <c r="AL33" s="70">
        <v>0</v>
      </c>
      <c r="AM33" s="71"/>
      <c r="AN33" s="72"/>
      <c r="AO33" s="31"/>
      <c r="AP33" s="29"/>
      <c r="AQ33" s="34"/>
      <c r="AR33" s="31"/>
      <c r="AS33" s="29"/>
      <c r="AT33" s="60">
        <v>0</v>
      </c>
      <c r="AU33" s="61"/>
      <c r="AV33" s="62"/>
    </row>
    <row r="34" spans="1:48" s="11" customFormat="1" x14ac:dyDescent="0.25">
      <c r="A34" s="57" t="s">
        <v>102</v>
      </c>
      <c r="B34" s="58"/>
      <c r="C34" s="58"/>
      <c r="D34" s="59"/>
      <c r="E34" s="139" t="s">
        <v>123</v>
      </c>
      <c r="F34" s="140"/>
      <c r="G34" s="141"/>
      <c r="H34" s="25"/>
      <c r="I34" s="25"/>
      <c r="J34" s="25">
        <v>46</v>
      </c>
      <c r="K34" s="25"/>
      <c r="L34" s="25">
        <v>10</v>
      </c>
      <c r="M34" s="25"/>
      <c r="N34" s="25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27" t="s">
        <v>60</v>
      </c>
      <c r="Z34" s="66">
        <v>0</v>
      </c>
      <c r="AA34" s="67"/>
      <c r="AB34" s="67"/>
      <c r="AC34" s="68"/>
      <c r="AD34" s="70">
        <v>665.56</v>
      </c>
      <c r="AE34" s="71"/>
      <c r="AF34" s="72"/>
      <c r="AG34" s="28" t="s">
        <v>138</v>
      </c>
      <c r="AH34" s="82"/>
      <c r="AI34" s="82"/>
      <c r="AJ34" s="82"/>
      <c r="AK34" s="30"/>
      <c r="AL34" s="70">
        <v>607.55999999999995</v>
      </c>
      <c r="AM34" s="71"/>
      <c r="AN34" s="72"/>
      <c r="AO34" s="31"/>
      <c r="AP34" s="29"/>
      <c r="AQ34" s="34"/>
      <c r="AR34" s="31"/>
      <c r="AS34" s="29"/>
      <c r="AT34" s="60">
        <v>58</v>
      </c>
      <c r="AU34" s="61"/>
      <c r="AV34" s="62"/>
    </row>
    <row r="35" spans="1:48" s="11" customFormat="1" x14ac:dyDescent="0.25">
      <c r="A35" s="79" t="s">
        <v>102</v>
      </c>
      <c r="B35" s="80"/>
      <c r="C35" s="80"/>
      <c r="D35" s="81"/>
      <c r="E35" s="142" t="s">
        <v>147</v>
      </c>
      <c r="F35" s="143"/>
      <c r="G35" s="144"/>
      <c r="H35" s="25"/>
      <c r="I35" s="25"/>
      <c r="J35" s="25">
        <v>46</v>
      </c>
      <c r="K35" s="25"/>
      <c r="L35" s="25">
        <v>10</v>
      </c>
      <c r="M35" s="25"/>
      <c r="N35" s="25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27" t="s">
        <v>60</v>
      </c>
      <c r="Z35" s="66">
        <v>0</v>
      </c>
      <c r="AA35" s="67"/>
      <c r="AB35" s="67"/>
      <c r="AC35" s="68"/>
      <c r="AD35" s="70"/>
      <c r="AE35" s="71"/>
      <c r="AF35" s="72"/>
      <c r="AG35" s="33" t="s">
        <v>128</v>
      </c>
      <c r="AH35" s="82"/>
      <c r="AI35" s="82"/>
      <c r="AJ35" s="82"/>
      <c r="AK35" s="30"/>
      <c r="AL35" s="70">
        <v>0</v>
      </c>
      <c r="AM35" s="71"/>
      <c r="AN35" s="72"/>
      <c r="AO35" s="31"/>
      <c r="AP35" s="29"/>
      <c r="AQ35" s="34"/>
      <c r="AR35" s="31"/>
      <c r="AS35" s="29"/>
      <c r="AT35" s="60">
        <v>0</v>
      </c>
      <c r="AU35" s="61"/>
      <c r="AV35" s="62"/>
    </row>
    <row r="36" spans="1:48" s="11" customFormat="1" x14ac:dyDescent="0.25">
      <c r="A36" s="57" t="s">
        <v>102</v>
      </c>
      <c r="B36" s="58"/>
      <c r="C36" s="58"/>
      <c r="D36" s="59"/>
      <c r="E36" s="142" t="s">
        <v>139</v>
      </c>
      <c r="F36" s="143"/>
      <c r="G36" s="144"/>
      <c r="H36" s="25"/>
      <c r="I36" s="25"/>
      <c r="J36" s="25">
        <v>46</v>
      </c>
      <c r="K36" s="25"/>
      <c r="L36" s="25">
        <v>10</v>
      </c>
      <c r="M36" s="25"/>
      <c r="N36" s="25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27" t="s">
        <v>60</v>
      </c>
      <c r="Z36" s="66">
        <v>0</v>
      </c>
      <c r="AA36" s="67"/>
      <c r="AB36" s="67"/>
      <c r="AC36" s="68"/>
      <c r="AD36" s="70"/>
      <c r="AE36" s="71"/>
      <c r="AF36" s="72"/>
      <c r="AG36" s="28" t="s">
        <v>138</v>
      </c>
      <c r="AH36" s="82"/>
      <c r="AI36" s="82"/>
      <c r="AJ36" s="82"/>
      <c r="AK36" s="30"/>
      <c r="AL36" s="70">
        <v>0</v>
      </c>
      <c r="AM36" s="71"/>
      <c r="AN36" s="72"/>
      <c r="AO36" s="31"/>
      <c r="AP36" s="29"/>
      <c r="AQ36" s="34"/>
      <c r="AR36" s="31"/>
      <c r="AS36" s="29"/>
      <c r="AT36" s="60">
        <v>0</v>
      </c>
      <c r="AU36" s="61"/>
      <c r="AV36" s="62"/>
    </row>
    <row r="37" spans="1:48" s="11" customFormat="1" x14ac:dyDescent="0.25">
      <c r="A37" s="69" t="s">
        <v>102</v>
      </c>
      <c r="B37" s="69"/>
      <c r="C37" s="69"/>
      <c r="D37" s="69"/>
      <c r="E37" s="139" t="s">
        <v>123</v>
      </c>
      <c r="F37" s="140"/>
      <c r="G37" s="141"/>
      <c r="H37" s="25"/>
      <c r="I37" s="25"/>
      <c r="J37" s="25">
        <v>46</v>
      </c>
      <c r="K37" s="25"/>
      <c r="L37" s="25">
        <v>10</v>
      </c>
      <c r="M37" s="25"/>
      <c r="N37" s="25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27" t="s">
        <v>60</v>
      </c>
      <c r="Z37" s="66">
        <v>0</v>
      </c>
      <c r="AA37" s="67"/>
      <c r="AB37" s="67"/>
      <c r="AC37" s="68"/>
      <c r="AD37" s="70"/>
      <c r="AE37" s="71"/>
      <c r="AF37" s="72"/>
      <c r="AG37" s="35" t="s">
        <v>124</v>
      </c>
      <c r="AH37" s="66"/>
      <c r="AI37" s="67"/>
      <c r="AJ37" s="68"/>
      <c r="AK37" s="30"/>
      <c r="AL37" s="70">
        <v>0</v>
      </c>
      <c r="AM37" s="71"/>
      <c r="AN37" s="72"/>
      <c r="AO37" s="31"/>
      <c r="AP37" s="29"/>
      <c r="AQ37" s="34"/>
      <c r="AR37" s="31"/>
      <c r="AS37" s="29"/>
      <c r="AT37" s="88">
        <v>0</v>
      </c>
      <c r="AU37" s="89"/>
      <c r="AV37" s="90"/>
    </row>
    <row r="38" spans="1:48" s="11" customFormat="1" x14ac:dyDescent="0.25">
      <c r="A38" s="73" t="s">
        <v>173</v>
      </c>
      <c r="B38" s="74"/>
      <c r="C38" s="74"/>
      <c r="D38" s="75"/>
      <c r="E38" s="139"/>
      <c r="F38" s="140"/>
      <c r="G38" s="141"/>
      <c r="H38" s="25">
        <v>7</v>
      </c>
      <c r="I38" s="25"/>
      <c r="J38" s="25">
        <v>28</v>
      </c>
      <c r="K38" s="25">
        <v>16</v>
      </c>
      <c r="L38" s="25"/>
      <c r="M38" s="25"/>
      <c r="N38" s="25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27" t="s">
        <v>60</v>
      </c>
      <c r="Z38" s="66">
        <v>0</v>
      </c>
      <c r="AA38" s="67"/>
      <c r="AB38" s="67"/>
      <c r="AC38" s="68"/>
      <c r="AD38" s="70">
        <v>252</v>
      </c>
      <c r="AE38" s="71"/>
      <c r="AF38" s="72"/>
      <c r="AG38" s="35" t="s">
        <v>172</v>
      </c>
      <c r="AH38" s="66"/>
      <c r="AI38" s="67"/>
      <c r="AJ38" s="68"/>
      <c r="AK38" s="30"/>
      <c r="AL38" s="70">
        <v>252</v>
      </c>
      <c r="AM38" s="71"/>
      <c r="AN38" s="72"/>
      <c r="AO38" s="31"/>
      <c r="AP38" s="29"/>
      <c r="AQ38" s="34"/>
      <c r="AR38" s="31"/>
      <c r="AS38" s="29"/>
      <c r="AT38" s="88">
        <v>0</v>
      </c>
      <c r="AU38" s="89"/>
      <c r="AV38" s="90"/>
    </row>
    <row r="39" spans="1:48" s="11" customFormat="1" x14ac:dyDescent="0.25">
      <c r="A39" s="69" t="s">
        <v>125</v>
      </c>
      <c r="B39" s="69"/>
      <c r="C39" s="69"/>
      <c r="D39" s="69"/>
      <c r="E39" s="139" t="s">
        <v>126</v>
      </c>
      <c r="F39" s="140"/>
      <c r="G39" s="141"/>
      <c r="H39" s="25">
        <v>11</v>
      </c>
      <c r="I39" s="25"/>
      <c r="J39" s="25">
        <v>52</v>
      </c>
      <c r="K39" s="25"/>
      <c r="L39" s="25"/>
      <c r="M39" s="25"/>
      <c r="N39" s="25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27" t="s">
        <v>60</v>
      </c>
      <c r="Z39" s="66">
        <v>0</v>
      </c>
      <c r="AA39" s="67"/>
      <c r="AB39" s="67"/>
      <c r="AC39" s="68"/>
      <c r="AD39" s="76"/>
      <c r="AE39" s="77"/>
      <c r="AF39" s="78"/>
      <c r="AG39" s="33" t="s">
        <v>114</v>
      </c>
      <c r="AH39" s="66"/>
      <c r="AI39" s="67"/>
      <c r="AJ39" s="68"/>
      <c r="AK39" s="30"/>
      <c r="AL39" s="76">
        <v>0</v>
      </c>
      <c r="AM39" s="77"/>
      <c r="AN39" s="78"/>
      <c r="AO39" s="31"/>
      <c r="AP39" s="29"/>
      <c r="AQ39" s="34"/>
      <c r="AR39" s="31"/>
      <c r="AS39" s="29"/>
      <c r="AT39" s="88">
        <v>0</v>
      </c>
      <c r="AU39" s="89"/>
      <c r="AV39" s="90"/>
    </row>
    <row r="40" spans="1:48" s="11" customFormat="1" ht="14.25" customHeight="1" x14ac:dyDescent="0.25">
      <c r="A40" s="69" t="s">
        <v>125</v>
      </c>
      <c r="B40" s="69"/>
      <c r="C40" s="69"/>
      <c r="D40" s="69"/>
      <c r="E40" s="139" t="s">
        <v>127</v>
      </c>
      <c r="F40" s="140"/>
      <c r="G40" s="141"/>
      <c r="H40" s="25">
        <v>12</v>
      </c>
      <c r="I40" s="25"/>
      <c r="J40" s="25">
        <v>52</v>
      </c>
      <c r="K40" s="25"/>
      <c r="L40" s="25"/>
      <c r="M40" s="25"/>
      <c r="N40" s="25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27" t="s">
        <v>60</v>
      </c>
      <c r="Z40" s="66">
        <v>0</v>
      </c>
      <c r="AA40" s="67"/>
      <c r="AB40" s="67"/>
      <c r="AC40" s="68"/>
      <c r="AD40" s="76"/>
      <c r="AE40" s="77"/>
      <c r="AF40" s="78"/>
      <c r="AG40" s="33" t="s">
        <v>116</v>
      </c>
      <c r="AH40" s="66"/>
      <c r="AI40" s="67"/>
      <c r="AJ40" s="68"/>
      <c r="AK40" s="30"/>
      <c r="AL40" s="76">
        <v>0</v>
      </c>
      <c r="AM40" s="77"/>
      <c r="AN40" s="78"/>
      <c r="AO40" s="31"/>
      <c r="AP40" s="29"/>
      <c r="AQ40" s="34"/>
      <c r="AR40" s="31"/>
      <c r="AS40" s="29"/>
      <c r="AT40" s="60">
        <v>0</v>
      </c>
      <c r="AU40" s="61"/>
      <c r="AV40" s="62"/>
    </row>
    <row r="41" spans="1:48" s="11" customFormat="1" ht="14.25" customHeight="1" x14ac:dyDescent="0.25">
      <c r="A41" s="69" t="s">
        <v>125</v>
      </c>
      <c r="B41" s="69"/>
      <c r="C41" s="69"/>
      <c r="D41" s="69"/>
      <c r="E41" s="145" t="s">
        <v>92</v>
      </c>
      <c r="F41" s="146"/>
      <c r="G41" s="147"/>
      <c r="H41" s="25">
        <v>12</v>
      </c>
      <c r="I41" s="25"/>
      <c r="J41" s="25">
        <v>52</v>
      </c>
      <c r="K41" s="25"/>
      <c r="L41" s="25"/>
      <c r="M41" s="25"/>
      <c r="N41" s="25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27" t="s">
        <v>60</v>
      </c>
      <c r="Z41" s="66">
        <v>0</v>
      </c>
      <c r="AA41" s="67"/>
      <c r="AB41" s="67"/>
      <c r="AC41" s="68"/>
      <c r="AD41" s="70"/>
      <c r="AE41" s="71"/>
      <c r="AF41" s="72"/>
      <c r="AG41" s="33" t="s">
        <v>128</v>
      </c>
      <c r="AH41" s="66"/>
      <c r="AI41" s="67"/>
      <c r="AJ41" s="68"/>
      <c r="AK41" s="30"/>
      <c r="AL41" s="70">
        <v>0</v>
      </c>
      <c r="AM41" s="71"/>
      <c r="AN41" s="72"/>
      <c r="AO41" s="31"/>
      <c r="AP41" s="29"/>
      <c r="AQ41" s="34"/>
      <c r="AR41" s="31"/>
      <c r="AS41" s="29"/>
      <c r="AT41" s="60">
        <v>0</v>
      </c>
      <c r="AU41" s="61"/>
      <c r="AV41" s="62"/>
    </row>
    <row r="42" spans="1:48" s="11" customFormat="1" ht="14.25" customHeight="1" x14ac:dyDescent="0.25">
      <c r="A42" s="69" t="s">
        <v>125</v>
      </c>
      <c r="B42" s="69"/>
      <c r="C42" s="69"/>
      <c r="D42" s="69"/>
      <c r="E42" s="148" t="s">
        <v>164</v>
      </c>
      <c r="F42" s="149"/>
      <c r="G42" s="150"/>
      <c r="H42" s="25">
        <v>11</v>
      </c>
      <c r="I42" s="25"/>
      <c r="J42" s="25">
        <v>52</v>
      </c>
      <c r="K42" s="25"/>
      <c r="L42" s="25"/>
      <c r="M42" s="25"/>
      <c r="N42" s="25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27" t="s">
        <v>60</v>
      </c>
      <c r="Z42" s="66">
        <v>0</v>
      </c>
      <c r="AA42" s="67"/>
      <c r="AB42" s="67"/>
      <c r="AC42" s="68"/>
      <c r="AD42" s="70"/>
      <c r="AE42" s="71"/>
      <c r="AF42" s="72"/>
      <c r="AG42" s="33" t="s">
        <v>162</v>
      </c>
      <c r="AH42" s="66"/>
      <c r="AI42" s="67"/>
      <c r="AJ42" s="68"/>
      <c r="AK42" s="30"/>
      <c r="AL42" s="70">
        <v>0</v>
      </c>
      <c r="AM42" s="71"/>
      <c r="AN42" s="72"/>
      <c r="AO42" s="31"/>
      <c r="AP42" s="29"/>
      <c r="AQ42" s="34"/>
      <c r="AR42" s="31"/>
      <c r="AS42" s="29"/>
      <c r="AT42" s="60">
        <v>0</v>
      </c>
      <c r="AU42" s="61"/>
      <c r="AV42" s="62"/>
    </row>
    <row r="43" spans="1:48" s="11" customFormat="1" ht="14.25" customHeight="1" x14ac:dyDescent="0.25">
      <c r="A43" s="69" t="s">
        <v>125</v>
      </c>
      <c r="B43" s="69"/>
      <c r="C43" s="69"/>
      <c r="D43" s="69"/>
      <c r="E43" s="139" t="s">
        <v>131</v>
      </c>
      <c r="F43" s="140"/>
      <c r="G43" s="141"/>
      <c r="H43" s="25">
        <v>11</v>
      </c>
      <c r="I43" s="25"/>
      <c r="J43" s="25">
        <v>52</v>
      </c>
      <c r="K43" s="25"/>
      <c r="L43" s="25"/>
      <c r="M43" s="25"/>
      <c r="N43" s="25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27" t="str">
        <f>$Y$42</f>
        <v>Tonelada</v>
      </c>
      <c r="Z43" s="66">
        <v>0</v>
      </c>
      <c r="AA43" s="67"/>
      <c r="AB43" s="67"/>
      <c r="AC43" s="68"/>
      <c r="AD43" s="70"/>
      <c r="AE43" s="71"/>
      <c r="AF43" s="72"/>
      <c r="AG43" s="32" t="s">
        <v>113</v>
      </c>
      <c r="AH43" s="66"/>
      <c r="AI43" s="67"/>
      <c r="AJ43" s="68"/>
      <c r="AK43" s="30"/>
      <c r="AL43" s="70">
        <v>0</v>
      </c>
      <c r="AM43" s="71"/>
      <c r="AN43" s="72"/>
      <c r="AO43" s="31"/>
      <c r="AP43" s="29"/>
      <c r="AQ43" s="34"/>
      <c r="AR43" s="31"/>
      <c r="AS43" s="29"/>
      <c r="AT43" s="60">
        <v>0</v>
      </c>
      <c r="AU43" s="61"/>
      <c r="AV43" s="62"/>
    </row>
    <row r="44" spans="1:48" s="11" customFormat="1" ht="14.25" customHeight="1" x14ac:dyDescent="0.25">
      <c r="A44" s="69" t="s">
        <v>125</v>
      </c>
      <c r="B44" s="69"/>
      <c r="C44" s="69"/>
      <c r="D44" s="69"/>
      <c r="E44" s="139" t="s">
        <v>164</v>
      </c>
      <c r="F44" s="140"/>
      <c r="G44" s="141"/>
      <c r="H44" s="25">
        <v>11</v>
      </c>
      <c r="I44" s="25"/>
      <c r="J44" s="25">
        <v>52</v>
      </c>
      <c r="K44" s="25"/>
      <c r="L44" s="25"/>
      <c r="M44" s="25"/>
      <c r="N44" s="25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27" t="str">
        <f>$Y$42</f>
        <v>Tonelada</v>
      </c>
      <c r="Z44" s="66">
        <v>0</v>
      </c>
      <c r="AA44" s="67"/>
      <c r="AB44" s="67"/>
      <c r="AC44" s="68"/>
      <c r="AD44" s="70">
        <v>670.72199999999998</v>
      </c>
      <c r="AE44" s="71"/>
      <c r="AF44" s="72"/>
      <c r="AG44" s="32" t="s">
        <v>154</v>
      </c>
      <c r="AH44" s="66"/>
      <c r="AI44" s="67"/>
      <c r="AJ44" s="68"/>
      <c r="AK44" s="30"/>
      <c r="AL44" s="70">
        <v>670.72199999999998</v>
      </c>
      <c r="AM44" s="71"/>
      <c r="AN44" s="72"/>
      <c r="AO44" s="31"/>
      <c r="AP44" s="29"/>
      <c r="AQ44" s="34"/>
      <c r="AR44" s="31"/>
      <c r="AS44" s="29"/>
      <c r="AT44" s="60">
        <v>0</v>
      </c>
      <c r="AU44" s="61"/>
      <c r="AV44" s="62"/>
    </row>
    <row r="45" spans="1:48" s="11" customFormat="1" ht="14.25" customHeight="1" x14ac:dyDescent="0.25">
      <c r="A45" s="69" t="s">
        <v>148</v>
      </c>
      <c r="B45" s="69"/>
      <c r="C45" s="69"/>
      <c r="D45" s="69"/>
      <c r="E45" s="139" t="s">
        <v>149</v>
      </c>
      <c r="F45" s="140"/>
      <c r="G45" s="141"/>
      <c r="H45" s="25">
        <v>18</v>
      </c>
      <c r="I45" s="25"/>
      <c r="J45" s="25">
        <v>46</v>
      </c>
      <c r="K45" s="25"/>
      <c r="L45" s="25"/>
      <c r="M45" s="25"/>
      <c r="N45" s="25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27" t="str">
        <f>$Y$42</f>
        <v>Tonelada</v>
      </c>
      <c r="Z45" s="66">
        <v>0</v>
      </c>
      <c r="AA45" s="67"/>
      <c r="AB45" s="67"/>
      <c r="AC45" s="68"/>
      <c r="AD45" s="70"/>
      <c r="AE45" s="71"/>
      <c r="AF45" s="72"/>
      <c r="AG45" s="33" t="s">
        <v>61</v>
      </c>
      <c r="AH45" s="66"/>
      <c r="AI45" s="67"/>
      <c r="AJ45" s="68"/>
      <c r="AK45" s="30"/>
      <c r="AL45" s="70">
        <v>0</v>
      </c>
      <c r="AM45" s="71"/>
      <c r="AN45" s="72"/>
      <c r="AO45" s="31"/>
      <c r="AP45" s="29"/>
      <c r="AQ45" s="34"/>
      <c r="AR45" s="31"/>
      <c r="AS45" s="29"/>
      <c r="AT45" s="60">
        <v>0</v>
      </c>
      <c r="AU45" s="61"/>
      <c r="AV45" s="62"/>
    </row>
    <row r="46" spans="1:48" s="11" customFormat="1" ht="14.25" customHeight="1" x14ac:dyDescent="0.25">
      <c r="A46" s="69" t="s">
        <v>103</v>
      </c>
      <c r="B46" s="69"/>
      <c r="C46" s="69"/>
      <c r="D46" s="69"/>
      <c r="E46" s="148" t="s">
        <v>151</v>
      </c>
      <c r="F46" s="149"/>
      <c r="G46" s="150"/>
      <c r="H46" s="25">
        <v>20</v>
      </c>
      <c r="I46" s="25"/>
      <c r="J46" s="25"/>
      <c r="K46" s="25"/>
      <c r="L46" s="25"/>
      <c r="M46" s="25"/>
      <c r="N46" s="25">
        <v>23</v>
      </c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27" t="s">
        <v>60</v>
      </c>
      <c r="Z46" s="66">
        <v>17</v>
      </c>
      <c r="AA46" s="67"/>
      <c r="AB46" s="67"/>
      <c r="AC46" s="68"/>
      <c r="AD46" s="76"/>
      <c r="AE46" s="77"/>
      <c r="AF46" s="78"/>
      <c r="AG46" s="33" t="s">
        <v>61</v>
      </c>
      <c r="AH46" s="66"/>
      <c r="AI46" s="67"/>
      <c r="AJ46" s="68"/>
      <c r="AK46" s="30"/>
      <c r="AL46" s="76">
        <v>17</v>
      </c>
      <c r="AM46" s="77"/>
      <c r="AN46" s="78"/>
      <c r="AO46" s="31"/>
      <c r="AP46" s="29"/>
      <c r="AQ46" s="34"/>
      <c r="AR46" s="31"/>
      <c r="AS46" s="29"/>
      <c r="AT46" s="60">
        <v>0</v>
      </c>
      <c r="AU46" s="61"/>
      <c r="AV46" s="62"/>
    </row>
    <row r="47" spans="1:48" s="11" customFormat="1" ht="14.25" customHeight="1" x14ac:dyDescent="0.25">
      <c r="A47" s="69" t="s">
        <v>103</v>
      </c>
      <c r="B47" s="69"/>
      <c r="C47" s="69"/>
      <c r="D47" s="69"/>
      <c r="E47" s="132" t="s">
        <v>146</v>
      </c>
      <c r="F47" s="133"/>
      <c r="G47" s="134"/>
      <c r="H47" s="25">
        <v>21</v>
      </c>
      <c r="I47" s="25"/>
      <c r="J47" s="25"/>
      <c r="K47" s="25"/>
      <c r="L47" s="25"/>
      <c r="M47" s="25"/>
      <c r="N47" s="25">
        <v>24</v>
      </c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27" t="s">
        <v>60</v>
      </c>
      <c r="Z47" s="66">
        <v>0</v>
      </c>
      <c r="AA47" s="67"/>
      <c r="AB47" s="67"/>
      <c r="AC47" s="68"/>
      <c r="AD47" s="76"/>
      <c r="AE47" s="77"/>
      <c r="AF47" s="78"/>
      <c r="AG47" s="33" t="s">
        <v>116</v>
      </c>
      <c r="AH47" s="66"/>
      <c r="AI47" s="67"/>
      <c r="AJ47" s="68"/>
      <c r="AK47" s="30"/>
      <c r="AL47" s="76">
        <v>0</v>
      </c>
      <c r="AM47" s="77"/>
      <c r="AN47" s="78"/>
      <c r="AO47" s="31"/>
      <c r="AP47" s="29"/>
      <c r="AQ47" s="34"/>
      <c r="AR47" s="31"/>
      <c r="AS47" s="29"/>
      <c r="AT47" s="60">
        <v>0</v>
      </c>
      <c r="AU47" s="61"/>
      <c r="AV47" s="62"/>
    </row>
    <row r="48" spans="1:48" s="11" customFormat="1" ht="14.25" customHeight="1" x14ac:dyDescent="0.25">
      <c r="A48" s="69" t="s">
        <v>103</v>
      </c>
      <c r="B48" s="69"/>
      <c r="C48" s="69"/>
      <c r="D48" s="69"/>
      <c r="E48" s="132" t="s">
        <v>174</v>
      </c>
      <c r="F48" s="133"/>
      <c r="G48" s="134"/>
      <c r="H48" s="25">
        <v>21</v>
      </c>
      <c r="I48" s="25"/>
      <c r="J48" s="25"/>
      <c r="K48" s="25"/>
      <c r="L48" s="25"/>
      <c r="M48" s="25"/>
      <c r="N48" s="25">
        <v>23</v>
      </c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27" t="s">
        <v>60</v>
      </c>
      <c r="Z48" s="66">
        <v>0</v>
      </c>
      <c r="AA48" s="67"/>
      <c r="AB48" s="67"/>
      <c r="AC48" s="68"/>
      <c r="AD48" s="76"/>
      <c r="AE48" s="77"/>
      <c r="AF48" s="78"/>
      <c r="AG48" s="33" t="s">
        <v>114</v>
      </c>
      <c r="AH48" s="66"/>
      <c r="AI48" s="67"/>
      <c r="AJ48" s="68"/>
      <c r="AK48" s="30"/>
      <c r="AL48" s="76">
        <v>534.47</v>
      </c>
      <c r="AM48" s="77"/>
      <c r="AN48" s="78"/>
      <c r="AO48" s="31"/>
      <c r="AP48" s="29"/>
      <c r="AQ48" s="34"/>
      <c r="AR48" s="31"/>
      <c r="AS48" s="29"/>
      <c r="AT48" s="60">
        <v>0</v>
      </c>
      <c r="AU48" s="61"/>
      <c r="AV48" s="62"/>
    </row>
    <row r="49" spans="1:256" s="11" customFormat="1" ht="14.25" customHeight="1" x14ac:dyDescent="0.25">
      <c r="A49" s="69" t="s">
        <v>103</v>
      </c>
      <c r="B49" s="69"/>
      <c r="C49" s="69"/>
      <c r="D49" s="69"/>
      <c r="E49" s="151" t="s">
        <v>129</v>
      </c>
      <c r="F49" s="152"/>
      <c r="G49" s="153"/>
      <c r="H49" s="25">
        <v>21</v>
      </c>
      <c r="I49" s="25"/>
      <c r="J49" s="25"/>
      <c r="K49" s="25"/>
      <c r="L49" s="25"/>
      <c r="M49" s="25"/>
      <c r="N49" s="25">
        <v>24</v>
      </c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27" t="s">
        <v>60</v>
      </c>
      <c r="Z49" s="66">
        <v>0</v>
      </c>
      <c r="AA49" s="67"/>
      <c r="AB49" s="67"/>
      <c r="AC49" s="68"/>
      <c r="AD49" s="76"/>
      <c r="AE49" s="77"/>
      <c r="AF49" s="78"/>
      <c r="AG49" s="33" t="s">
        <v>128</v>
      </c>
      <c r="AH49" s="66"/>
      <c r="AI49" s="67"/>
      <c r="AJ49" s="68"/>
      <c r="AK49" s="30"/>
      <c r="AL49" s="76">
        <v>0</v>
      </c>
      <c r="AM49" s="77"/>
      <c r="AN49" s="78"/>
      <c r="AO49" s="31"/>
      <c r="AP49" s="29"/>
      <c r="AQ49" s="34"/>
      <c r="AR49" s="31"/>
      <c r="AS49" s="29"/>
      <c r="AT49" s="60">
        <v>0</v>
      </c>
      <c r="AU49" s="61"/>
      <c r="AV49" s="62"/>
    </row>
    <row r="50" spans="1:256" s="11" customFormat="1" ht="14.25" customHeight="1" x14ac:dyDescent="0.25">
      <c r="A50" s="69" t="s">
        <v>103</v>
      </c>
      <c r="B50" s="69"/>
      <c r="C50" s="69"/>
      <c r="D50" s="69"/>
      <c r="E50" s="151" t="s">
        <v>155</v>
      </c>
      <c r="F50" s="152"/>
      <c r="G50" s="153"/>
      <c r="H50" s="25">
        <v>20.5</v>
      </c>
      <c r="I50" s="25"/>
      <c r="J50" s="25"/>
      <c r="K50" s="25"/>
      <c r="L50" s="25"/>
      <c r="M50" s="25"/>
      <c r="N50" s="25">
        <v>23.5</v>
      </c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27" t="s">
        <v>60</v>
      </c>
      <c r="Z50" s="66">
        <v>0</v>
      </c>
      <c r="AA50" s="67"/>
      <c r="AB50" s="67"/>
      <c r="AC50" s="68"/>
      <c r="AD50" s="76">
        <v>400</v>
      </c>
      <c r="AE50" s="77"/>
      <c r="AF50" s="78"/>
      <c r="AG50" s="33" t="s">
        <v>154</v>
      </c>
      <c r="AH50" s="66"/>
      <c r="AI50" s="67"/>
      <c r="AJ50" s="68"/>
      <c r="AK50" s="30"/>
      <c r="AL50" s="76">
        <v>400</v>
      </c>
      <c r="AM50" s="77"/>
      <c r="AN50" s="78"/>
      <c r="AO50" s="31"/>
      <c r="AP50" s="29"/>
      <c r="AQ50" s="34"/>
      <c r="AR50" s="31"/>
      <c r="AS50" s="29"/>
      <c r="AT50" s="60">
        <v>0</v>
      </c>
      <c r="AU50" s="61"/>
      <c r="AV50" s="62"/>
    </row>
    <row r="51" spans="1:256" s="11" customFormat="1" ht="14.25" customHeight="1" x14ac:dyDescent="0.25">
      <c r="A51" s="69" t="s">
        <v>103</v>
      </c>
      <c r="B51" s="69"/>
      <c r="C51" s="69"/>
      <c r="D51" s="69"/>
      <c r="E51" s="130" t="s">
        <v>150</v>
      </c>
      <c r="F51" s="130"/>
      <c r="G51" s="130"/>
      <c r="H51" s="25">
        <v>20.5</v>
      </c>
      <c r="I51" s="25"/>
      <c r="J51" s="25"/>
      <c r="K51" s="25"/>
      <c r="L51" s="25"/>
      <c r="M51" s="25"/>
      <c r="N51" s="25">
        <v>23.5</v>
      </c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27" t="s">
        <v>60</v>
      </c>
      <c r="Z51" s="66">
        <v>0</v>
      </c>
      <c r="AA51" s="67"/>
      <c r="AB51" s="67"/>
      <c r="AC51" s="68"/>
      <c r="AD51" s="76"/>
      <c r="AE51" s="77"/>
      <c r="AF51" s="78"/>
      <c r="AG51" s="33" t="s">
        <v>61</v>
      </c>
      <c r="AH51" s="66"/>
      <c r="AI51" s="67"/>
      <c r="AJ51" s="68"/>
      <c r="AK51" s="30"/>
      <c r="AL51" s="76">
        <v>0</v>
      </c>
      <c r="AM51" s="77"/>
      <c r="AN51" s="78"/>
      <c r="AO51" s="31"/>
      <c r="AP51" s="29"/>
      <c r="AQ51" s="34"/>
      <c r="AR51" s="31"/>
      <c r="AS51" s="29"/>
      <c r="AT51" s="60">
        <v>0</v>
      </c>
      <c r="AU51" s="61"/>
      <c r="AV51" s="62"/>
    </row>
    <row r="52" spans="1:256" s="11" customFormat="1" ht="14.25" customHeight="1" x14ac:dyDescent="0.25">
      <c r="A52" s="69" t="s">
        <v>103</v>
      </c>
      <c r="B52" s="69"/>
      <c r="C52" s="69"/>
      <c r="D52" s="69"/>
      <c r="E52" s="130" t="s">
        <v>132</v>
      </c>
      <c r="F52" s="130"/>
      <c r="G52" s="130"/>
      <c r="H52" s="25">
        <v>20.5</v>
      </c>
      <c r="I52" s="25"/>
      <c r="J52" s="25"/>
      <c r="K52" s="25"/>
      <c r="L52" s="25"/>
      <c r="M52" s="25"/>
      <c r="N52" s="25">
        <v>23.5</v>
      </c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27" t="s">
        <v>60</v>
      </c>
      <c r="Z52" s="66">
        <v>0</v>
      </c>
      <c r="AA52" s="67"/>
      <c r="AB52" s="67"/>
      <c r="AC52" s="68"/>
      <c r="AD52" s="76"/>
      <c r="AE52" s="77"/>
      <c r="AF52" s="78"/>
      <c r="AG52" s="33" t="s">
        <v>61</v>
      </c>
      <c r="AH52" s="66"/>
      <c r="AI52" s="67"/>
      <c r="AJ52" s="68"/>
      <c r="AK52" s="30"/>
      <c r="AL52" s="76">
        <v>0</v>
      </c>
      <c r="AM52" s="77"/>
      <c r="AN52" s="78"/>
      <c r="AO52" s="31"/>
      <c r="AP52" s="29"/>
      <c r="AQ52" s="34"/>
      <c r="AR52" s="31"/>
      <c r="AS52" s="29"/>
      <c r="AT52" s="60">
        <v>0</v>
      </c>
      <c r="AU52" s="61"/>
      <c r="AV52" s="62"/>
    </row>
    <row r="53" spans="1:256" s="12" customFormat="1" x14ac:dyDescent="0.25">
      <c r="A53" s="69" t="s">
        <v>104</v>
      </c>
      <c r="B53" s="69"/>
      <c r="C53" s="69"/>
      <c r="D53" s="69"/>
      <c r="E53" s="139" t="s">
        <v>89</v>
      </c>
      <c r="F53" s="140"/>
      <c r="G53" s="141"/>
      <c r="H53" s="25"/>
      <c r="I53" s="25"/>
      <c r="J53" s="25"/>
      <c r="K53" s="25"/>
      <c r="L53" s="25">
        <v>18</v>
      </c>
      <c r="M53" s="25">
        <v>8</v>
      </c>
      <c r="N53" s="25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27" t="s">
        <v>60</v>
      </c>
      <c r="Z53" s="66">
        <v>68</v>
      </c>
      <c r="AA53" s="67"/>
      <c r="AB53" s="67"/>
      <c r="AC53" s="68"/>
      <c r="AD53" s="70">
        <v>1234.3599999999999</v>
      </c>
      <c r="AE53" s="71"/>
      <c r="AF53" s="72"/>
      <c r="AG53" s="33" t="s">
        <v>86</v>
      </c>
      <c r="AH53" s="66"/>
      <c r="AI53" s="67"/>
      <c r="AJ53" s="68"/>
      <c r="AK53" s="30"/>
      <c r="AL53" s="70">
        <v>1182.3599999999999</v>
      </c>
      <c r="AM53" s="71"/>
      <c r="AN53" s="72"/>
      <c r="AO53" s="31"/>
      <c r="AP53" s="29"/>
      <c r="AQ53" s="34"/>
      <c r="AR53" s="31"/>
      <c r="AS53" s="29"/>
      <c r="AT53" s="60">
        <v>120</v>
      </c>
      <c r="AU53" s="61"/>
      <c r="AV53" s="62"/>
      <c r="AW53" s="11"/>
      <c r="AX53" s="11"/>
      <c r="AY53" s="11"/>
      <c r="AZ53" s="11"/>
      <c r="BA53" s="11"/>
      <c r="BB53" s="11"/>
      <c r="BC53" s="11"/>
      <c r="BD53" s="11"/>
      <c r="BE53" s="11"/>
      <c r="BF53" s="11"/>
      <c r="BG53" s="11"/>
      <c r="BH53" s="11"/>
      <c r="BI53" s="11"/>
      <c r="BJ53" s="11"/>
      <c r="BK53" s="11"/>
      <c r="BL53" s="11"/>
      <c r="BM53" s="11"/>
      <c r="BN53" s="11"/>
      <c r="BO53" s="11"/>
      <c r="BP53" s="11"/>
      <c r="BQ53" s="11"/>
      <c r="BR53" s="11"/>
      <c r="BS53" s="11"/>
      <c r="BT53" s="11"/>
      <c r="BU53" s="11"/>
      <c r="BV53" s="11"/>
      <c r="BW53" s="11"/>
      <c r="BX53" s="11"/>
      <c r="BY53" s="11"/>
      <c r="BZ53" s="11"/>
      <c r="CA53" s="11"/>
      <c r="CB53" s="11"/>
      <c r="CC53" s="11"/>
      <c r="CD53" s="11"/>
      <c r="CE53" s="11"/>
      <c r="CF53" s="11"/>
      <c r="CG53" s="11"/>
      <c r="CH53" s="11"/>
      <c r="CI53" s="11"/>
      <c r="CJ53" s="11"/>
      <c r="CK53" s="11"/>
      <c r="CL53" s="11"/>
      <c r="CM53" s="11"/>
      <c r="CN53" s="11"/>
      <c r="CO53" s="11"/>
      <c r="CP53" s="11"/>
      <c r="CQ53" s="11"/>
      <c r="CR53" s="11"/>
      <c r="CS53" s="11"/>
      <c r="CT53" s="11"/>
      <c r="CU53" s="11"/>
      <c r="CV53" s="11"/>
      <c r="CW53" s="11"/>
      <c r="CX53" s="11"/>
      <c r="CY53" s="11"/>
      <c r="CZ53" s="11"/>
      <c r="DA53" s="11"/>
      <c r="DB53" s="11"/>
      <c r="DC53" s="11"/>
      <c r="DD53" s="11"/>
      <c r="DE53" s="11"/>
      <c r="DF53" s="11"/>
      <c r="DG53" s="11"/>
      <c r="DH53" s="11"/>
      <c r="DI53" s="11"/>
      <c r="DJ53" s="11"/>
      <c r="DK53" s="11"/>
      <c r="DL53" s="11"/>
      <c r="DM53" s="11"/>
      <c r="DN53" s="11"/>
      <c r="DO53" s="11"/>
      <c r="DP53" s="11"/>
      <c r="DQ53" s="11"/>
      <c r="DR53" s="11"/>
      <c r="DS53" s="11"/>
      <c r="DT53" s="11"/>
      <c r="DU53" s="11"/>
      <c r="DV53" s="11"/>
      <c r="DW53" s="11"/>
      <c r="DX53" s="11"/>
      <c r="DY53" s="11"/>
      <c r="DZ53" s="11"/>
      <c r="EA53" s="11"/>
      <c r="EB53" s="11"/>
      <c r="EC53" s="11"/>
      <c r="ED53" s="11"/>
      <c r="EE53" s="11"/>
      <c r="EF53" s="11"/>
      <c r="EG53" s="11"/>
      <c r="EH53" s="11"/>
      <c r="EI53" s="11"/>
      <c r="EJ53" s="11"/>
      <c r="EK53" s="11"/>
      <c r="EL53" s="11"/>
      <c r="EM53" s="11"/>
      <c r="EN53" s="11"/>
      <c r="EO53" s="11"/>
      <c r="EP53" s="11"/>
      <c r="EQ53" s="11"/>
      <c r="ER53" s="11"/>
      <c r="ES53" s="11"/>
      <c r="ET53" s="11"/>
      <c r="EU53" s="11"/>
      <c r="EV53" s="11"/>
      <c r="EW53" s="11"/>
      <c r="EX53" s="11"/>
      <c r="EY53" s="11"/>
      <c r="EZ53" s="11"/>
      <c r="FA53" s="11"/>
      <c r="FB53" s="11"/>
      <c r="FC53" s="11"/>
      <c r="FD53" s="11"/>
      <c r="FE53" s="11"/>
      <c r="FF53" s="11"/>
      <c r="FG53" s="11"/>
      <c r="FH53" s="11"/>
      <c r="FI53" s="11"/>
      <c r="FJ53" s="11"/>
      <c r="FK53" s="11"/>
      <c r="FL53" s="11"/>
      <c r="FM53" s="11"/>
      <c r="FN53" s="11"/>
      <c r="FO53" s="11"/>
      <c r="FP53" s="11"/>
      <c r="FQ53" s="11"/>
      <c r="FR53" s="11"/>
      <c r="FS53" s="11"/>
      <c r="FT53" s="11"/>
      <c r="FU53" s="11"/>
      <c r="FV53" s="11"/>
      <c r="FW53" s="11"/>
      <c r="FX53" s="11"/>
      <c r="FY53" s="11"/>
      <c r="FZ53" s="11"/>
      <c r="GA53" s="11"/>
      <c r="GB53" s="11"/>
      <c r="GC53" s="11"/>
      <c r="GD53" s="11"/>
      <c r="GE53" s="11"/>
      <c r="GF53" s="11"/>
      <c r="GG53" s="11"/>
      <c r="GH53" s="11"/>
      <c r="GI53" s="11"/>
      <c r="GJ53" s="11"/>
      <c r="GK53" s="11"/>
      <c r="GL53" s="11"/>
      <c r="GM53" s="11"/>
      <c r="GN53" s="11"/>
      <c r="GO53" s="11"/>
      <c r="GP53" s="11"/>
      <c r="GQ53" s="11"/>
      <c r="GR53" s="11"/>
      <c r="GS53" s="11"/>
      <c r="GT53" s="11"/>
      <c r="GU53" s="11"/>
      <c r="GV53" s="11"/>
      <c r="GW53" s="11"/>
      <c r="GX53" s="11"/>
      <c r="GY53" s="11"/>
      <c r="GZ53" s="11"/>
      <c r="HA53" s="11"/>
      <c r="HB53" s="11"/>
      <c r="HC53" s="11"/>
      <c r="HD53" s="11"/>
      <c r="HE53" s="11"/>
      <c r="HF53" s="11"/>
      <c r="HG53" s="11"/>
      <c r="HH53" s="11"/>
      <c r="HI53" s="11"/>
      <c r="HJ53" s="11"/>
      <c r="HK53" s="11"/>
      <c r="HL53" s="11"/>
      <c r="HM53" s="11"/>
      <c r="HN53" s="11"/>
      <c r="HO53" s="11"/>
      <c r="HP53" s="11"/>
      <c r="HQ53" s="11"/>
      <c r="HR53" s="11"/>
      <c r="HS53" s="11"/>
      <c r="HT53" s="11"/>
      <c r="HU53" s="11"/>
      <c r="HV53" s="11"/>
      <c r="HW53" s="11"/>
      <c r="HX53" s="11"/>
      <c r="HY53" s="11"/>
      <c r="HZ53" s="11"/>
      <c r="IA53" s="11"/>
      <c r="IB53" s="11"/>
      <c r="IC53" s="11"/>
      <c r="ID53" s="11"/>
      <c r="IE53" s="11"/>
      <c r="IF53" s="11"/>
      <c r="IG53" s="11"/>
      <c r="IH53" s="11"/>
      <c r="II53" s="11"/>
      <c r="IJ53" s="11"/>
      <c r="IK53" s="11"/>
      <c r="IL53" s="11"/>
      <c r="IM53" s="11"/>
      <c r="IN53" s="11"/>
      <c r="IO53" s="11"/>
      <c r="IP53" s="11"/>
      <c r="IQ53" s="11"/>
      <c r="IR53" s="11"/>
      <c r="IS53" s="11"/>
      <c r="IT53" s="11"/>
      <c r="IU53" s="11"/>
      <c r="IV53" s="11"/>
    </row>
    <row r="54" spans="1:256" s="11" customFormat="1" x14ac:dyDescent="0.25">
      <c r="A54" s="73" t="s">
        <v>105</v>
      </c>
      <c r="B54" s="74"/>
      <c r="C54" s="74"/>
      <c r="D54" s="75"/>
      <c r="E54" s="139" t="s">
        <v>109</v>
      </c>
      <c r="F54" s="140"/>
      <c r="G54" s="141"/>
      <c r="H54" s="25"/>
      <c r="I54" s="25">
        <v>29</v>
      </c>
      <c r="J54" s="25"/>
      <c r="K54" s="25"/>
      <c r="L54" s="25">
        <v>32</v>
      </c>
      <c r="M54" s="25"/>
      <c r="N54" s="25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27" t="s">
        <v>60</v>
      </c>
      <c r="Z54" s="66">
        <v>0</v>
      </c>
      <c r="AA54" s="67"/>
      <c r="AB54" s="67"/>
      <c r="AC54" s="68"/>
      <c r="AD54" s="76"/>
      <c r="AE54" s="77"/>
      <c r="AF54" s="78"/>
      <c r="AG54" s="33" t="s">
        <v>61</v>
      </c>
      <c r="AH54" s="82"/>
      <c r="AI54" s="82"/>
      <c r="AJ54" s="82"/>
      <c r="AK54" s="30"/>
      <c r="AL54" s="87">
        <v>0</v>
      </c>
      <c r="AM54" s="87"/>
      <c r="AN54" s="87"/>
      <c r="AO54" s="48"/>
      <c r="AP54" s="29"/>
      <c r="AQ54" s="34"/>
      <c r="AR54" s="31"/>
      <c r="AS54" s="29"/>
      <c r="AT54" s="60">
        <v>0</v>
      </c>
      <c r="AU54" s="61"/>
      <c r="AV54" s="62"/>
    </row>
    <row r="55" spans="1:256" s="11" customFormat="1" x14ac:dyDescent="0.25">
      <c r="A55" s="73" t="s">
        <v>105</v>
      </c>
      <c r="B55" s="74"/>
      <c r="C55" s="74"/>
      <c r="D55" s="75"/>
      <c r="E55" s="142" t="s">
        <v>163</v>
      </c>
      <c r="F55" s="143"/>
      <c r="G55" s="144"/>
      <c r="H55" s="25"/>
      <c r="I55" s="25">
        <v>27</v>
      </c>
      <c r="J55" s="25"/>
      <c r="K55" s="25"/>
      <c r="L55" s="25">
        <v>30</v>
      </c>
      <c r="M55" s="25"/>
      <c r="N55" s="25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27" t="s">
        <v>60</v>
      </c>
      <c r="Z55" s="66">
        <v>0</v>
      </c>
      <c r="AA55" s="67"/>
      <c r="AB55" s="67"/>
      <c r="AC55" s="68"/>
      <c r="AD55" s="76"/>
      <c r="AE55" s="77"/>
      <c r="AF55" s="78"/>
      <c r="AG55" s="33" t="s">
        <v>162</v>
      </c>
      <c r="AH55" s="66"/>
      <c r="AI55" s="67"/>
      <c r="AJ55" s="68"/>
      <c r="AK55" s="30"/>
      <c r="AL55" s="76">
        <v>0</v>
      </c>
      <c r="AM55" s="77"/>
      <c r="AN55" s="78"/>
      <c r="AO55" s="48"/>
      <c r="AP55" s="29"/>
      <c r="AQ55" s="34"/>
      <c r="AR55" s="31"/>
      <c r="AS55" s="29"/>
      <c r="AT55" s="60">
        <v>0</v>
      </c>
      <c r="AU55" s="61"/>
      <c r="AV55" s="62"/>
    </row>
    <row r="56" spans="1:256" s="11" customFormat="1" x14ac:dyDescent="0.25">
      <c r="A56" s="73" t="s">
        <v>105</v>
      </c>
      <c r="B56" s="74"/>
      <c r="C56" s="74"/>
      <c r="D56" s="75"/>
      <c r="E56" s="132" t="s">
        <v>144</v>
      </c>
      <c r="F56" s="133"/>
      <c r="G56" s="134"/>
      <c r="H56" s="25"/>
      <c r="I56" s="25">
        <v>28</v>
      </c>
      <c r="J56" s="25"/>
      <c r="K56" s="25"/>
      <c r="L56" s="25">
        <v>31</v>
      </c>
      <c r="M56" s="25"/>
      <c r="N56" s="25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27" t="s">
        <v>60</v>
      </c>
      <c r="Z56" s="66">
        <v>0</v>
      </c>
      <c r="AA56" s="67"/>
      <c r="AB56" s="67"/>
      <c r="AC56" s="68"/>
      <c r="AD56" s="76"/>
      <c r="AE56" s="77"/>
      <c r="AF56" s="78"/>
      <c r="AG56" s="33" t="s">
        <v>145</v>
      </c>
      <c r="AH56" s="66"/>
      <c r="AI56" s="67"/>
      <c r="AJ56" s="68"/>
      <c r="AK56" s="30"/>
      <c r="AL56" s="83">
        <v>0</v>
      </c>
      <c r="AM56" s="83"/>
      <c r="AN56" s="83"/>
      <c r="AO56" s="48"/>
      <c r="AP56" s="29"/>
      <c r="AQ56" s="34"/>
      <c r="AR56" s="31"/>
      <c r="AS56" s="29"/>
      <c r="AT56" s="60">
        <v>0</v>
      </c>
      <c r="AU56" s="61"/>
      <c r="AV56" s="62"/>
    </row>
    <row r="57" spans="1:256" s="11" customFormat="1" x14ac:dyDescent="0.25">
      <c r="A57" s="73" t="s">
        <v>105</v>
      </c>
      <c r="B57" s="74"/>
      <c r="C57" s="74"/>
      <c r="D57" s="75"/>
      <c r="E57" s="142" t="s">
        <v>163</v>
      </c>
      <c r="F57" s="143"/>
      <c r="G57" s="144"/>
      <c r="H57" s="25"/>
      <c r="I57" s="25">
        <v>27</v>
      </c>
      <c r="J57" s="25"/>
      <c r="K57" s="25"/>
      <c r="L57" s="25">
        <v>30</v>
      </c>
      <c r="M57" s="25"/>
      <c r="N57" s="25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27" t="s">
        <v>60</v>
      </c>
      <c r="Z57" s="66">
        <v>24</v>
      </c>
      <c r="AA57" s="67"/>
      <c r="AB57" s="67"/>
      <c r="AC57" s="68"/>
      <c r="AD57" s="76">
        <v>466.32</v>
      </c>
      <c r="AE57" s="77"/>
      <c r="AF57" s="78"/>
      <c r="AG57" s="33" t="s">
        <v>143</v>
      </c>
      <c r="AH57" s="66"/>
      <c r="AI57" s="67"/>
      <c r="AJ57" s="68"/>
      <c r="AK57" s="30"/>
      <c r="AL57" s="76">
        <v>451.32</v>
      </c>
      <c r="AM57" s="77"/>
      <c r="AN57" s="78"/>
      <c r="AO57" s="48"/>
      <c r="AP57" s="29"/>
      <c r="AQ57" s="34"/>
      <c r="AR57" s="31"/>
      <c r="AS57" s="29"/>
      <c r="AT57" s="60">
        <v>39</v>
      </c>
      <c r="AU57" s="61"/>
      <c r="AV57" s="62"/>
    </row>
    <row r="58" spans="1:256" s="11" customFormat="1" x14ac:dyDescent="0.25">
      <c r="A58" s="73" t="s">
        <v>96</v>
      </c>
      <c r="B58" s="74"/>
      <c r="C58" s="74"/>
      <c r="D58" s="75"/>
      <c r="E58" s="139" t="s">
        <v>111</v>
      </c>
      <c r="F58" s="140"/>
      <c r="G58" s="141"/>
      <c r="H58" s="25">
        <v>8</v>
      </c>
      <c r="I58" s="25"/>
      <c r="J58" s="25">
        <v>40</v>
      </c>
      <c r="K58" s="25">
        <v>0</v>
      </c>
      <c r="L58" s="25"/>
      <c r="M58" s="25"/>
      <c r="N58" s="25">
        <v>5</v>
      </c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27" t="s">
        <v>60</v>
      </c>
      <c r="Z58" s="66">
        <v>0</v>
      </c>
      <c r="AA58" s="67"/>
      <c r="AB58" s="67"/>
      <c r="AC58" s="68"/>
      <c r="AD58" s="70">
        <v>718.4</v>
      </c>
      <c r="AE58" s="71"/>
      <c r="AF58" s="72"/>
      <c r="AG58" s="33" t="s">
        <v>61</v>
      </c>
      <c r="AH58" s="66"/>
      <c r="AI58" s="67"/>
      <c r="AJ58" s="68"/>
      <c r="AK58" s="30"/>
      <c r="AL58" s="70">
        <v>694.4</v>
      </c>
      <c r="AM58" s="71"/>
      <c r="AN58" s="72"/>
      <c r="AO58" s="36"/>
      <c r="AP58" s="29"/>
      <c r="AQ58" s="34"/>
      <c r="AR58" s="31"/>
      <c r="AS58" s="29"/>
      <c r="AT58" s="60">
        <v>24</v>
      </c>
      <c r="AU58" s="61"/>
      <c r="AV58" s="62"/>
    </row>
    <row r="59" spans="1:256" s="23" customFormat="1" x14ac:dyDescent="0.25">
      <c r="A59" s="73" t="s">
        <v>96</v>
      </c>
      <c r="B59" s="74"/>
      <c r="C59" s="74"/>
      <c r="D59" s="75"/>
      <c r="E59" s="139" t="s">
        <v>93</v>
      </c>
      <c r="F59" s="140"/>
      <c r="G59" s="141"/>
      <c r="H59" s="25">
        <v>8</v>
      </c>
      <c r="I59" s="26"/>
      <c r="J59" s="25">
        <v>40</v>
      </c>
      <c r="K59" s="25">
        <v>0</v>
      </c>
      <c r="L59" s="26"/>
      <c r="M59" s="26"/>
      <c r="N59" s="25">
        <v>2.5</v>
      </c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7" t="s">
        <v>60</v>
      </c>
      <c r="Z59" s="66">
        <v>0</v>
      </c>
      <c r="AA59" s="67"/>
      <c r="AB59" s="67"/>
      <c r="AC59" s="68"/>
      <c r="AD59" s="70">
        <v>30</v>
      </c>
      <c r="AE59" s="71"/>
      <c r="AF59" s="72"/>
      <c r="AG59" s="33" t="s">
        <v>61</v>
      </c>
      <c r="AH59" s="84"/>
      <c r="AI59" s="85"/>
      <c r="AJ59" s="86"/>
      <c r="AK59" s="37"/>
      <c r="AL59" s="70">
        <v>30</v>
      </c>
      <c r="AM59" s="71"/>
      <c r="AN59" s="72"/>
      <c r="AO59" s="38"/>
      <c r="AP59" s="39"/>
      <c r="AQ59" s="40"/>
      <c r="AR59" s="41"/>
      <c r="AS59" s="39"/>
      <c r="AT59" s="60">
        <v>0</v>
      </c>
      <c r="AU59" s="61"/>
      <c r="AV59" s="62"/>
    </row>
    <row r="60" spans="1:256" s="23" customFormat="1" x14ac:dyDescent="0.25">
      <c r="A60" s="73" t="s">
        <v>96</v>
      </c>
      <c r="B60" s="74"/>
      <c r="C60" s="74"/>
      <c r="D60" s="75"/>
      <c r="E60" s="139" t="s">
        <v>133</v>
      </c>
      <c r="F60" s="140"/>
      <c r="G60" s="141"/>
      <c r="H60" s="25">
        <v>10</v>
      </c>
      <c r="I60" s="26"/>
      <c r="J60" s="25">
        <v>40</v>
      </c>
      <c r="K60" s="25">
        <v>0</v>
      </c>
      <c r="L60" s="26"/>
      <c r="M60" s="26"/>
      <c r="N60" s="25">
        <v>5</v>
      </c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7" t="s">
        <v>60</v>
      </c>
      <c r="Z60" s="66">
        <v>0</v>
      </c>
      <c r="AA60" s="67"/>
      <c r="AB60" s="67"/>
      <c r="AC60" s="68"/>
      <c r="AD60" s="70"/>
      <c r="AE60" s="71"/>
      <c r="AF60" s="72"/>
      <c r="AG60" s="33" t="s">
        <v>61</v>
      </c>
      <c r="AH60" s="84"/>
      <c r="AI60" s="85"/>
      <c r="AJ60" s="86"/>
      <c r="AK60" s="37"/>
      <c r="AL60" s="70">
        <v>0</v>
      </c>
      <c r="AM60" s="71"/>
      <c r="AN60" s="72"/>
      <c r="AO60" s="38"/>
      <c r="AP60" s="39"/>
      <c r="AQ60" s="40"/>
      <c r="AR60" s="41"/>
      <c r="AS60" s="39"/>
      <c r="AT60" s="60">
        <v>0</v>
      </c>
      <c r="AU60" s="61"/>
      <c r="AV60" s="62"/>
    </row>
    <row r="61" spans="1:256" s="23" customFormat="1" x14ac:dyDescent="0.25">
      <c r="A61" s="73" t="s">
        <v>97</v>
      </c>
      <c r="B61" s="74"/>
      <c r="C61" s="74"/>
      <c r="D61" s="75"/>
      <c r="E61" s="139" t="s">
        <v>135</v>
      </c>
      <c r="F61" s="140"/>
      <c r="G61" s="141"/>
      <c r="H61" s="25">
        <v>10</v>
      </c>
      <c r="I61" s="26"/>
      <c r="J61" s="25">
        <v>45</v>
      </c>
      <c r="K61" s="25">
        <v>0</v>
      </c>
      <c r="L61" s="26"/>
      <c r="M61" s="26"/>
      <c r="N61" s="25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7" t="s">
        <v>60</v>
      </c>
      <c r="Z61" s="66">
        <v>0</v>
      </c>
      <c r="AA61" s="67"/>
      <c r="AB61" s="67"/>
      <c r="AC61" s="68"/>
      <c r="AD61" s="70"/>
      <c r="AE61" s="71"/>
      <c r="AF61" s="72"/>
      <c r="AG61" s="55" t="s">
        <v>120</v>
      </c>
      <c r="AH61" s="84"/>
      <c r="AI61" s="85"/>
      <c r="AJ61" s="86"/>
      <c r="AK61" s="37"/>
      <c r="AL61" s="70">
        <v>0</v>
      </c>
      <c r="AM61" s="71"/>
      <c r="AN61" s="72"/>
      <c r="AO61" s="49"/>
      <c r="AP61" s="50"/>
      <c r="AQ61" s="51"/>
      <c r="AR61" s="41"/>
      <c r="AS61" s="39"/>
      <c r="AT61" s="60">
        <v>0</v>
      </c>
      <c r="AU61" s="61"/>
      <c r="AV61" s="62"/>
    </row>
    <row r="62" spans="1:256" s="11" customFormat="1" x14ac:dyDescent="0.25">
      <c r="A62" s="73" t="s">
        <v>97</v>
      </c>
      <c r="B62" s="74"/>
      <c r="C62" s="74"/>
      <c r="D62" s="75"/>
      <c r="E62" s="154" t="s">
        <v>134</v>
      </c>
      <c r="F62" s="155"/>
      <c r="G62" s="156"/>
      <c r="H62" s="25">
        <v>10</v>
      </c>
      <c r="I62" s="25"/>
      <c r="J62" s="25">
        <v>45</v>
      </c>
      <c r="K62" s="25">
        <v>0</v>
      </c>
      <c r="L62" s="25"/>
      <c r="M62" s="25"/>
      <c r="N62" s="25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27" t="s">
        <v>60</v>
      </c>
      <c r="Z62" s="66">
        <v>0</v>
      </c>
      <c r="AA62" s="67"/>
      <c r="AB62" s="67"/>
      <c r="AC62" s="68"/>
      <c r="AD62" s="76"/>
      <c r="AE62" s="77"/>
      <c r="AF62" s="78"/>
      <c r="AG62" s="35" t="s">
        <v>124</v>
      </c>
      <c r="AH62" s="66"/>
      <c r="AI62" s="67"/>
      <c r="AJ62" s="68"/>
      <c r="AK62" s="30"/>
      <c r="AL62" s="76">
        <v>0</v>
      </c>
      <c r="AM62" s="77"/>
      <c r="AN62" s="78"/>
      <c r="AO62" s="47"/>
      <c r="AP62" s="43"/>
      <c r="AQ62" s="44"/>
      <c r="AR62" s="31"/>
      <c r="AS62" s="29"/>
      <c r="AT62" s="60">
        <v>0</v>
      </c>
      <c r="AU62" s="61"/>
      <c r="AV62" s="62"/>
    </row>
    <row r="63" spans="1:256" s="11" customFormat="1" x14ac:dyDescent="0.25">
      <c r="A63" s="73" t="s">
        <v>97</v>
      </c>
      <c r="B63" s="74"/>
      <c r="C63" s="74"/>
      <c r="D63" s="75"/>
      <c r="E63" s="139" t="s">
        <v>136</v>
      </c>
      <c r="F63" s="140"/>
      <c r="G63" s="141"/>
      <c r="H63" s="25">
        <v>10</v>
      </c>
      <c r="I63" s="25"/>
      <c r="J63" s="25">
        <v>45</v>
      </c>
      <c r="K63" s="25">
        <v>0</v>
      </c>
      <c r="L63" s="25"/>
      <c r="M63" s="25"/>
      <c r="N63" s="25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27" t="s">
        <v>60</v>
      </c>
      <c r="Z63" s="66">
        <v>0</v>
      </c>
      <c r="AA63" s="67"/>
      <c r="AB63" s="67"/>
      <c r="AC63" s="68"/>
      <c r="AD63" s="76"/>
      <c r="AE63" s="77"/>
      <c r="AF63" s="78"/>
      <c r="AG63" s="33" t="s">
        <v>114</v>
      </c>
      <c r="AH63" s="66"/>
      <c r="AI63" s="67"/>
      <c r="AJ63" s="68"/>
      <c r="AK63" s="30"/>
      <c r="AL63" s="76">
        <v>0</v>
      </c>
      <c r="AM63" s="77"/>
      <c r="AN63" s="78"/>
      <c r="AO63" s="47"/>
      <c r="AP63" s="43"/>
      <c r="AQ63" s="44"/>
      <c r="AR63" s="31"/>
      <c r="AS63" s="29"/>
      <c r="AT63" s="60">
        <v>0</v>
      </c>
      <c r="AU63" s="61"/>
      <c r="AV63" s="62"/>
    </row>
    <row r="64" spans="1:256" ht="14.25" x14ac:dyDescent="0.25">
      <c r="A64" s="73" t="s">
        <v>159</v>
      </c>
      <c r="B64" s="74"/>
      <c r="C64" s="74"/>
      <c r="D64" s="75"/>
      <c r="E64" s="139" t="s">
        <v>160</v>
      </c>
      <c r="F64" s="140"/>
      <c r="G64" s="141"/>
      <c r="H64" s="25">
        <v>0</v>
      </c>
      <c r="I64" s="25"/>
      <c r="J64" s="25">
        <v>0</v>
      </c>
      <c r="K64" s="25">
        <v>0</v>
      </c>
      <c r="L64" s="25"/>
      <c r="M64" s="25"/>
      <c r="N64" s="25"/>
      <c r="O64" s="10"/>
      <c r="P64" s="10"/>
      <c r="Q64" s="10"/>
      <c r="R64" s="10"/>
      <c r="S64" s="10"/>
      <c r="T64" s="10"/>
      <c r="U64" s="10"/>
      <c r="V64" s="10"/>
      <c r="W64" s="10"/>
      <c r="X64" s="10">
        <v>60</v>
      </c>
      <c r="Y64" s="27" t="s">
        <v>60</v>
      </c>
      <c r="Z64" s="66">
        <v>0</v>
      </c>
      <c r="AA64" s="67"/>
      <c r="AB64" s="67"/>
      <c r="AC64" s="68"/>
      <c r="AD64" s="66">
        <v>81.837000000000003</v>
      </c>
      <c r="AE64" s="67"/>
      <c r="AF64" s="68"/>
      <c r="AG64" s="33" t="s">
        <v>158</v>
      </c>
      <c r="AH64" s="66"/>
      <c r="AI64" s="67"/>
      <c r="AJ64" s="68"/>
      <c r="AK64" s="30"/>
      <c r="AL64" s="66">
        <v>81.837000000000003</v>
      </c>
      <c r="AM64" s="67"/>
      <c r="AN64" s="68"/>
      <c r="AO64" s="42"/>
      <c r="AP64" s="43"/>
      <c r="AQ64" s="44"/>
      <c r="AR64" s="31"/>
      <c r="AS64" s="29"/>
      <c r="AT64" s="60">
        <v>0</v>
      </c>
      <c r="AU64" s="61"/>
      <c r="AV64" s="62"/>
      <c r="AW64" s="20"/>
      <c r="AX64" s="20"/>
      <c r="AY64" s="20"/>
      <c r="AZ64" s="17"/>
      <c r="BA64" s="17"/>
      <c r="BB64" s="17"/>
      <c r="BC64" s="17"/>
      <c r="BD64" s="17"/>
      <c r="BE64" s="17"/>
      <c r="BF64" s="17"/>
      <c r="BG64" s="17"/>
      <c r="BH64" s="17"/>
      <c r="BI64" s="17"/>
      <c r="BJ64" s="17"/>
      <c r="BK64" s="17"/>
      <c r="BL64" s="17"/>
      <c r="BM64" s="17"/>
      <c r="BN64" s="17"/>
      <c r="BO64" s="17"/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7"/>
      <c r="DH64" s="17"/>
      <c r="DI64" s="17"/>
      <c r="DJ64" s="17"/>
      <c r="DK64" s="17"/>
      <c r="DL64" s="17"/>
      <c r="DM64" s="17"/>
      <c r="DN64" s="17"/>
      <c r="DO64" s="17"/>
      <c r="DP64" s="17"/>
      <c r="DQ64" s="17"/>
      <c r="DR64" s="17"/>
      <c r="DS64" s="17"/>
      <c r="DT64" s="17"/>
      <c r="DU64" s="17"/>
      <c r="DV64" s="17"/>
      <c r="DW64" s="17"/>
      <c r="DX64" s="17"/>
      <c r="DY64" s="17"/>
      <c r="DZ64" s="17"/>
      <c r="EA64" s="17"/>
      <c r="EB64" s="17"/>
      <c r="EC64" s="17"/>
      <c r="ED64" s="17"/>
      <c r="EE64" s="17"/>
      <c r="EF64" s="17"/>
      <c r="EG64" s="17"/>
      <c r="EH64" s="17"/>
      <c r="EI64" s="17"/>
      <c r="EJ64" s="17"/>
      <c r="EK64" s="17"/>
      <c r="EL64" s="17"/>
      <c r="EM64" s="17"/>
      <c r="EN64" s="17"/>
      <c r="EO64" s="17"/>
      <c r="EP64" s="17"/>
      <c r="EQ64" s="17"/>
      <c r="ER64" s="17"/>
      <c r="ES64" s="17"/>
      <c r="ET64" s="17"/>
      <c r="EU64" s="17"/>
      <c r="EV64" s="17"/>
      <c r="EW64" s="17"/>
      <c r="EX64" s="17"/>
      <c r="EY64" s="17"/>
      <c r="EZ64" s="17"/>
      <c r="FA64" s="17"/>
      <c r="FB64" s="17"/>
      <c r="FC64" s="17"/>
      <c r="FD64" s="17"/>
      <c r="FE64" s="17"/>
      <c r="FF64" s="17"/>
      <c r="FG64" s="17"/>
      <c r="FH64" s="17"/>
      <c r="FI64" s="17"/>
      <c r="FJ64" s="17"/>
      <c r="FK64" s="17"/>
      <c r="FL64" s="17"/>
      <c r="FM64" s="17"/>
      <c r="FN64" s="17"/>
      <c r="FO64" s="17"/>
      <c r="FP64" s="17"/>
      <c r="FQ64" s="17"/>
      <c r="FR64" s="17"/>
      <c r="FS64" s="17"/>
      <c r="FT64" s="17"/>
      <c r="FU64" s="17"/>
      <c r="FV64" s="17"/>
      <c r="FW64" s="17"/>
      <c r="FX64" s="17"/>
      <c r="FY64" s="17"/>
      <c r="FZ64" s="17"/>
      <c r="GA64" s="17"/>
      <c r="GB64" s="17"/>
      <c r="GC64" s="17"/>
      <c r="GD64" s="17"/>
      <c r="GE64" s="17"/>
      <c r="GF64" s="17"/>
      <c r="GG64" s="17"/>
      <c r="GH64" s="17"/>
      <c r="GI64" s="17"/>
      <c r="GJ64" s="17"/>
      <c r="GK64" s="17"/>
      <c r="GL64" s="17"/>
      <c r="GM64" s="17"/>
      <c r="GN64" s="17"/>
      <c r="GO64" s="17"/>
      <c r="GP64" s="17"/>
      <c r="GQ64" s="17"/>
      <c r="GR64" s="17"/>
      <c r="GS64" s="17"/>
      <c r="GT64" s="17"/>
      <c r="GU64" s="17"/>
      <c r="GV64" s="17"/>
      <c r="GW64" s="17"/>
      <c r="GX64" s="17"/>
      <c r="GY64" s="17"/>
      <c r="GZ64" s="17"/>
      <c r="HA64" s="17"/>
      <c r="HB64" s="17"/>
      <c r="HC64" s="17"/>
      <c r="HD64" s="17"/>
      <c r="HE64" s="17"/>
      <c r="HF64" s="17"/>
      <c r="HG64" s="17"/>
      <c r="HH64" s="17"/>
      <c r="HI64" s="17"/>
      <c r="HJ64" s="17"/>
      <c r="HK64" s="17"/>
      <c r="HL64" s="17"/>
      <c r="HM64" s="17"/>
      <c r="HN64" s="17"/>
      <c r="HO64" s="17"/>
      <c r="HP64" s="17"/>
      <c r="HQ64" s="17"/>
      <c r="HR64" s="17"/>
      <c r="HS64" s="17"/>
      <c r="HT64" s="17"/>
      <c r="HU64" s="17"/>
      <c r="HV64" s="17"/>
      <c r="HW64" s="17"/>
      <c r="HX64" s="17"/>
      <c r="HY64" s="17"/>
      <c r="HZ64" s="17"/>
      <c r="IA64" s="17"/>
      <c r="IB64" s="17"/>
      <c r="IC64" s="17"/>
      <c r="ID64" s="17"/>
      <c r="IE64" s="17"/>
      <c r="IF64" s="17"/>
      <c r="IG64" s="17"/>
      <c r="IH64" s="17"/>
      <c r="II64" s="17"/>
      <c r="IJ64" s="17"/>
      <c r="IK64" s="17"/>
      <c r="IL64" s="17"/>
      <c r="IM64" s="17"/>
      <c r="IN64" s="17"/>
      <c r="IO64" s="17"/>
      <c r="IP64" s="17"/>
      <c r="IQ64" s="17"/>
      <c r="IR64" s="17"/>
      <c r="IS64" s="17"/>
      <c r="IT64" s="17"/>
      <c r="IU64" s="17"/>
      <c r="IV64" s="17"/>
    </row>
    <row r="65" spans="1:256" ht="14.25" x14ac:dyDescent="0.25">
      <c r="A65" s="52" t="s">
        <v>156</v>
      </c>
      <c r="B65" s="53"/>
      <c r="C65" s="53"/>
      <c r="D65" s="54"/>
      <c r="E65" s="142" t="s">
        <v>157</v>
      </c>
      <c r="F65" s="143"/>
      <c r="G65" s="144"/>
      <c r="H65" s="25">
        <v>0</v>
      </c>
      <c r="I65" s="25"/>
      <c r="J65" s="25">
        <v>0</v>
      </c>
      <c r="K65" s="25">
        <v>0</v>
      </c>
      <c r="L65" s="25"/>
      <c r="M65" s="25"/>
      <c r="N65" s="25"/>
      <c r="O65" s="10"/>
      <c r="P65" s="10"/>
      <c r="Q65" s="10"/>
      <c r="R65" s="10">
        <v>16</v>
      </c>
      <c r="S65" s="10"/>
      <c r="T65" s="10"/>
      <c r="U65" s="10"/>
      <c r="V65" s="10"/>
      <c r="W65" s="10"/>
      <c r="X65" s="10"/>
      <c r="Y65" s="27" t="s">
        <v>60</v>
      </c>
      <c r="Z65" s="66">
        <v>0</v>
      </c>
      <c r="AA65" s="67"/>
      <c r="AB65" s="67"/>
      <c r="AC65" s="68"/>
      <c r="AD65" s="66"/>
      <c r="AE65" s="67"/>
      <c r="AF65" s="68"/>
      <c r="AG65" s="33" t="s">
        <v>158</v>
      </c>
      <c r="AH65" s="66"/>
      <c r="AI65" s="67"/>
      <c r="AJ65" s="68"/>
      <c r="AK65" s="30"/>
      <c r="AL65" s="66">
        <v>0</v>
      </c>
      <c r="AM65" s="67"/>
      <c r="AN65" s="68"/>
      <c r="AO65" s="42"/>
      <c r="AP65" s="43"/>
      <c r="AQ65" s="44"/>
      <c r="AR65" s="31"/>
      <c r="AS65" s="29"/>
      <c r="AT65" s="60">
        <v>0</v>
      </c>
      <c r="AU65" s="61"/>
      <c r="AV65" s="62"/>
      <c r="AW65" s="20"/>
      <c r="AX65" s="20"/>
      <c r="AY65" s="20"/>
      <c r="AZ65" s="17"/>
      <c r="BA65" s="17"/>
      <c r="BB65" s="17"/>
      <c r="BC65" s="17"/>
      <c r="BD65" s="17"/>
      <c r="BE65" s="17"/>
      <c r="BF65" s="17"/>
      <c r="BG65" s="17"/>
      <c r="BH65" s="17"/>
      <c r="BI65" s="17"/>
      <c r="BJ65" s="17"/>
      <c r="BK65" s="17"/>
      <c r="BL65" s="17"/>
      <c r="BM65" s="17"/>
      <c r="BN65" s="17"/>
      <c r="BO65" s="17"/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7"/>
      <c r="DG65" s="17"/>
      <c r="DH65" s="17"/>
      <c r="DI65" s="17"/>
      <c r="DJ65" s="17"/>
      <c r="DK65" s="17"/>
      <c r="DL65" s="17"/>
      <c r="DM65" s="17"/>
      <c r="DN65" s="17"/>
      <c r="DO65" s="17"/>
      <c r="DP65" s="17"/>
      <c r="DQ65" s="17"/>
      <c r="DR65" s="17"/>
      <c r="DS65" s="17"/>
      <c r="DT65" s="17"/>
      <c r="DU65" s="17"/>
      <c r="DV65" s="17"/>
      <c r="DW65" s="17"/>
      <c r="DX65" s="17"/>
      <c r="DY65" s="17"/>
      <c r="DZ65" s="17"/>
      <c r="EA65" s="17"/>
      <c r="EB65" s="17"/>
      <c r="EC65" s="17"/>
      <c r="ED65" s="17"/>
      <c r="EE65" s="17"/>
      <c r="EF65" s="17"/>
      <c r="EG65" s="17"/>
      <c r="EH65" s="17"/>
      <c r="EI65" s="17"/>
      <c r="EJ65" s="17"/>
      <c r="EK65" s="17"/>
      <c r="EL65" s="17"/>
      <c r="EM65" s="17"/>
      <c r="EN65" s="17"/>
      <c r="EO65" s="17"/>
      <c r="EP65" s="17"/>
      <c r="EQ65" s="17"/>
      <c r="ER65" s="17"/>
      <c r="ES65" s="17"/>
      <c r="ET65" s="17"/>
      <c r="EU65" s="17"/>
      <c r="EV65" s="17"/>
      <c r="EW65" s="17"/>
      <c r="EX65" s="17"/>
      <c r="EY65" s="17"/>
      <c r="EZ65" s="17"/>
      <c r="FA65" s="17"/>
      <c r="FB65" s="17"/>
      <c r="FC65" s="17"/>
      <c r="FD65" s="17"/>
      <c r="FE65" s="17"/>
      <c r="FF65" s="17"/>
      <c r="FG65" s="17"/>
      <c r="FH65" s="17"/>
      <c r="FI65" s="17"/>
      <c r="FJ65" s="17"/>
      <c r="FK65" s="17"/>
      <c r="FL65" s="17"/>
      <c r="FM65" s="17"/>
      <c r="FN65" s="17"/>
      <c r="FO65" s="17"/>
      <c r="FP65" s="17"/>
      <c r="FQ65" s="17"/>
      <c r="FR65" s="17"/>
      <c r="FS65" s="17"/>
      <c r="FT65" s="17"/>
      <c r="FU65" s="17"/>
      <c r="FV65" s="17"/>
      <c r="FW65" s="17"/>
      <c r="FX65" s="17"/>
      <c r="FY65" s="17"/>
      <c r="FZ65" s="17"/>
      <c r="GA65" s="17"/>
      <c r="GB65" s="17"/>
      <c r="GC65" s="17"/>
      <c r="GD65" s="17"/>
      <c r="GE65" s="17"/>
      <c r="GF65" s="17"/>
      <c r="GG65" s="17"/>
      <c r="GH65" s="17"/>
      <c r="GI65" s="17"/>
      <c r="GJ65" s="17"/>
      <c r="GK65" s="17"/>
      <c r="GL65" s="17"/>
      <c r="GM65" s="17"/>
      <c r="GN65" s="17"/>
      <c r="GO65" s="17"/>
      <c r="GP65" s="17"/>
      <c r="GQ65" s="17"/>
      <c r="GR65" s="17"/>
      <c r="GS65" s="17"/>
      <c r="GT65" s="17"/>
      <c r="GU65" s="17"/>
      <c r="GV65" s="17"/>
      <c r="GW65" s="17"/>
      <c r="GX65" s="17"/>
      <c r="GY65" s="17"/>
      <c r="GZ65" s="17"/>
      <c r="HA65" s="17"/>
      <c r="HB65" s="17"/>
      <c r="HC65" s="17"/>
      <c r="HD65" s="17"/>
      <c r="HE65" s="17"/>
      <c r="HF65" s="17"/>
      <c r="HG65" s="17"/>
      <c r="HH65" s="17"/>
      <c r="HI65" s="17"/>
      <c r="HJ65" s="17"/>
      <c r="HK65" s="17"/>
      <c r="HL65" s="17"/>
      <c r="HM65" s="17"/>
      <c r="HN65" s="17"/>
      <c r="HO65" s="17"/>
      <c r="HP65" s="17"/>
      <c r="HQ65" s="17"/>
      <c r="HR65" s="17"/>
      <c r="HS65" s="17"/>
      <c r="HT65" s="17"/>
      <c r="HU65" s="17"/>
      <c r="HV65" s="17"/>
      <c r="HW65" s="17"/>
      <c r="HX65" s="17"/>
      <c r="HY65" s="17"/>
      <c r="HZ65" s="17"/>
      <c r="IA65" s="17"/>
      <c r="IB65" s="17"/>
      <c r="IC65" s="17"/>
      <c r="ID65" s="17"/>
      <c r="IE65" s="17"/>
      <c r="IF65" s="17"/>
      <c r="IG65" s="17"/>
      <c r="IH65" s="17"/>
      <c r="II65" s="17"/>
      <c r="IJ65" s="17"/>
      <c r="IK65" s="17"/>
      <c r="IL65" s="17"/>
      <c r="IM65" s="17"/>
      <c r="IN65" s="17"/>
      <c r="IO65" s="17"/>
      <c r="IP65" s="17"/>
      <c r="IQ65" s="17"/>
      <c r="IR65" s="17"/>
      <c r="IS65" s="17"/>
      <c r="IT65" s="17"/>
      <c r="IU65" s="17"/>
      <c r="IV65" s="17"/>
    </row>
    <row r="66" spans="1:256" ht="14.25" x14ac:dyDescent="0.25">
      <c r="A66" s="52" t="s">
        <v>169</v>
      </c>
      <c r="B66" s="53"/>
      <c r="C66" s="53"/>
      <c r="D66" s="54"/>
      <c r="E66" s="157" t="s">
        <v>170</v>
      </c>
      <c r="F66" s="143"/>
      <c r="G66" s="144"/>
      <c r="H66" s="25">
        <v>0</v>
      </c>
      <c r="I66" s="25"/>
      <c r="J66" s="25">
        <v>0</v>
      </c>
      <c r="K66" s="25">
        <v>1</v>
      </c>
      <c r="L66" s="25"/>
      <c r="M66" s="25"/>
      <c r="N66" s="25"/>
      <c r="O66" s="10">
        <v>10</v>
      </c>
      <c r="P66" s="10"/>
      <c r="Q66" s="10"/>
      <c r="R66" s="10"/>
      <c r="S66" s="10"/>
      <c r="T66" s="10"/>
      <c r="U66" s="10"/>
      <c r="V66" s="10"/>
      <c r="W66" s="10"/>
      <c r="X66" s="10"/>
      <c r="Y66" s="27" t="s">
        <v>60</v>
      </c>
      <c r="Z66" s="66">
        <v>0</v>
      </c>
      <c r="AA66" s="67"/>
      <c r="AB66" s="67"/>
      <c r="AC66" s="68"/>
      <c r="AD66" s="66">
        <v>94</v>
      </c>
      <c r="AE66" s="67"/>
      <c r="AF66" s="68"/>
      <c r="AG66" s="33" t="s">
        <v>171</v>
      </c>
      <c r="AH66" s="66"/>
      <c r="AI66" s="67"/>
      <c r="AJ66" s="68"/>
      <c r="AK66" s="30"/>
      <c r="AL66" s="66">
        <v>94</v>
      </c>
      <c r="AM66" s="67"/>
      <c r="AN66" s="68"/>
      <c r="AO66" s="42"/>
      <c r="AP66" s="43"/>
      <c r="AQ66" s="44"/>
      <c r="AR66" s="31"/>
      <c r="AS66" s="29"/>
      <c r="AT66" s="60">
        <v>0</v>
      </c>
      <c r="AU66" s="61"/>
      <c r="AV66" s="62"/>
      <c r="AW66" s="20"/>
      <c r="AX66" s="20"/>
      <c r="AY66" s="20"/>
      <c r="AZ66" s="17"/>
      <c r="BA66" s="17"/>
      <c r="BB66" s="17"/>
      <c r="BC66" s="17"/>
      <c r="BD66" s="17"/>
      <c r="BE66" s="17"/>
      <c r="BF66" s="17"/>
      <c r="BG66" s="17"/>
      <c r="BH66" s="17"/>
      <c r="BI66" s="17"/>
      <c r="BJ66" s="17"/>
      <c r="BK66" s="17"/>
      <c r="BL66" s="17"/>
      <c r="BM66" s="17"/>
      <c r="BN66" s="17"/>
      <c r="BO66" s="17"/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7"/>
      <c r="DG66" s="17"/>
      <c r="DH66" s="17"/>
      <c r="DI66" s="17"/>
      <c r="DJ66" s="17"/>
      <c r="DK66" s="17"/>
      <c r="DL66" s="17"/>
      <c r="DM66" s="17"/>
      <c r="DN66" s="17"/>
      <c r="DO66" s="17"/>
      <c r="DP66" s="17"/>
      <c r="DQ66" s="17"/>
      <c r="DR66" s="17"/>
      <c r="DS66" s="17"/>
      <c r="DT66" s="17"/>
      <c r="DU66" s="17"/>
      <c r="DV66" s="17"/>
      <c r="DW66" s="17"/>
      <c r="DX66" s="17"/>
      <c r="DY66" s="17"/>
      <c r="DZ66" s="17"/>
      <c r="EA66" s="17"/>
      <c r="EB66" s="17"/>
      <c r="EC66" s="17"/>
      <c r="ED66" s="17"/>
      <c r="EE66" s="17"/>
      <c r="EF66" s="17"/>
      <c r="EG66" s="17"/>
      <c r="EH66" s="17"/>
      <c r="EI66" s="17"/>
      <c r="EJ66" s="17"/>
      <c r="EK66" s="17"/>
      <c r="EL66" s="17"/>
      <c r="EM66" s="17"/>
      <c r="EN66" s="17"/>
      <c r="EO66" s="17"/>
      <c r="EP66" s="17"/>
      <c r="EQ66" s="17"/>
      <c r="ER66" s="17"/>
      <c r="ES66" s="17"/>
      <c r="ET66" s="17"/>
      <c r="EU66" s="17"/>
      <c r="EV66" s="17"/>
      <c r="EW66" s="17"/>
      <c r="EX66" s="17"/>
      <c r="EY66" s="17"/>
      <c r="EZ66" s="17"/>
      <c r="FA66" s="17"/>
      <c r="FB66" s="17"/>
      <c r="FC66" s="17"/>
      <c r="FD66" s="17"/>
      <c r="FE66" s="17"/>
      <c r="FF66" s="17"/>
      <c r="FG66" s="17"/>
      <c r="FH66" s="17"/>
      <c r="FI66" s="17"/>
      <c r="FJ66" s="17"/>
      <c r="FK66" s="17"/>
      <c r="FL66" s="17"/>
      <c r="FM66" s="17"/>
      <c r="FN66" s="17"/>
      <c r="FO66" s="17"/>
      <c r="FP66" s="17"/>
      <c r="FQ66" s="17"/>
      <c r="FR66" s="17"/>
      <c r="FS66" s="17"/>
      <c r="FT66" s="17"/>
      <c r="FU66" s="17"/>
      <c r="FV66" s="17"/>
      <c r="FW66" s="17"/>
      <c r="FX66" s="17"/>
      <c r="FY66" s="17"/>
      <c r="FZ66" s="17"/>
      <c r="GA66" s="17"/>
      <c r="GB66" s="17"/>
      <c r="GC66" s="17"/>
      <c r="GD66" s="17"/>
      <c r="GE66" s="17"/>
      <c r="GF66" s="17"/>
      <c r="GG66" s="17"/>
      <c r="GH66" s="17"/>
      <c r="GI66" s="17"/>
      <c r="GJ66" s="17"/>
      <c r="GK66" s="17"/>
      <c r="GL66" s="17"/>
      <c r="GM66" s="17"/>
      <c r="GN66" s="17"/>
      <c r="GO66" s="17"/>
      <c r="GP66" s="17"/>
      <c r="GQ66" s="17"/>
      <c r="GR66" s="17"/>
      <c r="GS66" s="17"/>
      <c r="GT66" s="17"/>
      <c r="GU66" s="17"/>
      <c r="GV66" s="17"/>
      <c r="GW66" s="17"/>
      <c r="GX66" s="17"/>
      <c r="GY66" s="17"/>
      <c r="GZ66" s="17"/>
      <c r="HA66" s="17"/>
      <c r="HB66" s="17"/>
      <c r="HC66" s="17"/>
      <c r="HD66" s="17"/>
      <c r="HE66" s="17"/>
      <c r="HF66" s="17"/>
      <c r="HG66" s="17"/>
      <c r="HH66" s="17"/>
      <c r="HI66" s="17"/>
      <c r="HJ66" s="17"/>
      <c r="HK66" s="17"/>
      <c r="HL66" s="17"/>
      <c r="HM66" s="17"/>
      <c r="HN66" s="17"/>
      <c r="HO66" s="17"/>
      <c r="HP66" s="17"/>
      <c r="HQ66" s="17"/>
      <c r="HR66" s="17"/>
      <c r="HS66" s="17"/>
      <c r="HT66" s="17"/>
      <c r="HU66" s="17"/>
      <c r="HV66" s="17"/>
      <c r="HW66" s="17"/>
      <c r="HX66" s="17"/>
      <c r="HY66" s="17"/>
      <c r="HZ66" s="17"/>
      <c r="IA66" s="17"/>
      <c r="IB66" s="17"/>
      <c r="IC66" s="17"/>
      <c r="ID66" s="17"/>
      <c r="IE66" s="17"/>
      <c r="IF66" s="17"/>
      <c r="IG66" s="17"/>
      <c r="IH66" s="17"/>
      <c r="II66" s="17"/>
      <c r="IJ66" s="17"/>
      <c r="IK66" s="17"/>
      <c r="IL66" s="17"/>
      <c r="IM66" s="17"/>
      <c r="IN66" s="17"/>
      <c r="IO66" s="17"/>
      <c r="IP66" s="17"/>
      <c r="IQ66" s="17"/>
      <c r="IR66" s="17"/>
      <c r="IS66" s="17"/>
      <c r="IT66" s="17"/>
      <c r="IU66" s="17"/>
      <c r="IV66" s="17"/>
    </row>
    <row r="67" spans="1:256" ht="14.25" x14ac:dyDescent="0.25">
      <c r="A67" s="73" t="s">
        <v>106</v>
      </c>
      <c r="B67" s="74"/>
      <c r="C67" s="74"/>
      <c r="D67" s="75"/>
      <c r="E67" s="139" t="s">
        <v>98</v>
      </c>
      <c r="F67" s="140"/>
      <c r="G67" s="141"/>
      <c r="H67" s="25">
        <v>0</v>
      </c>
      <c r="I67" s="25"/>
      <c r="J67" s="25">
        <v>0</v>
      </c>
      <c r="K67" s="25">
        <v>0</v>
      </c>
      <c r="L67" s="25"/>
      <c r="M67" s="25"/>
      <c r="N67" s="25"/>
      <c r="O67" s="10">
        <v>14</v>
      </c>
      <c r="P67" s="10"/>
      <c r="Q67" s="10"/>
      <c r="R67" s="10"/>
      <c r="S67" s="10"/>
      <c r="T67" s="10"/>
      <c r="U67" s="10"/>
      <c r="V67" s="10"/>
      <c r="W67" s="10"/>
      <c r="X67" s="10"/>
      <c r="Y67" s="27" t="s">
        <v>60</v>
      </c>
      <c r="Z67" s="66">
        <v>55</v>
      </c>
      <c r="AA67" s="67"/>
      <c r="AB67" s="67"/>
      <c r="AC67" s="68"/>
      <c r="AD67" s="70">
        <v>0</v>
      </c>
      <c r="AE67" s="71"/>
      <c r="AF67" s="72"/>
      <c r="AG67" s="33" t="s">
        <v>94</v>
      </c>
      <c r="AH67" s="66">
        <v>378</v>
      </c>
      <c r="AI67" s="67"/>
      <c r="AJ67" s="68"/>
      <c r="AK67" s="46" t="s">
        <v>168</v>
      </c>
      <c r="AL67" s="70">
        <v>472</v>
      </c>
      <c r="AM67" s="71"/>
      <c r="AN67" s="72"/>
      <c r="AO67" s="42"/>
      <c r="AP67" s="43"/>
      <c r="AQ67" s="44"/>
      <c r="AR67" s="31"/>
      <c r="AS67" s="29"/>
      <c r="AT67" s="60">
        <v>0</v>
      </c>
      <c r="AU67" s="61"/>
      <c r="AV67" s="62"/>
      <c r="AW67" s="20"/>
      <c r="AX67" s="20"/>
      <c r="AY67" s="20"/>
      <c r="AZ67" s="17"/>
      <c r="BA67" s="17"/>
      <c r="BB67" s="17"/>
      <c r="BC67" s="17"/>
      <c r="BD67" s="17"/>
      <c r="BE67" s="17"/>
      <c r="BF67" s="17"/>
      <c r="BG67" s="17"/>
      <c r="BH67" s="17"/>
      <c r="BI67" s="17"/>
      <c r="BJ67" s="17"/>
      <c r="BK67" s="17"/>
      <c r="BL67" s="17"/>
      <c r="BM67" s="17"/>
      <c r="BN67" s="17"/>
      <c r="BO67" s="17"/>
      <c r="BP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7"/>
      <c r="DG67" s="17"/>
      <c r="DH67" s="17"/>
      <c r="DI67" s="17"/>
      <c r="DJ67" s="17"/>
      <c r="DK67" s="17"/>
      <c r="DL67" s="17"/>
      <c r="DM67" s="17"/>
      <c r="DN67" s="17"/>
      <c r="DO67" s="17"/>
      <c r="DP67" s="17"/>
      <c r="DQ67" s="17"/>
      <c r="DR67" s="17"/>
      <c r="DS67" s="17"/>
      <c r="DT67" s="17"/>
      <c r="DU67" s="17"/>
      <c r="DV67" s="17"/>
      <c r="DW67" s="17"/>
      <c r="DX67" s="17"/>
      <c r="DY67" s="17"/>
      <c r="DZ67" s="17"/>
      <c r="EA67" s="17"/>
      <c r="EB67" s="17"/>
      <c r="EC67" s="17"/>
      <c r="ED67" s="17"/>
      <c r="EE67" s="17"/>
      <c r="EF67" s="17"/>
      <c r="EG67" s="17"/>
      <c r="EH67" s="17"/>
      <c r="EI67" s="17"/>
      <c r="EJ67" s="17"/>
      <c r="EK67" s="17"/>
      <c r="EL67" s="17"/>
      <c r="EM67" s="17"/>
      <c r="EN67" s="17"/>
      <c r="EO67" s="17"/>
      <c r="EP67" s="17"/>
      <c r="EQ67" s="17"/>
      <c r="ER67" s="17"/>
      <c r="ES67" s="17"/>
      <c r="ET67" s="17"/>
      <c r="EU67" s="17"/>
      <c r="EV67" s="17"/>
      <c r="EW67" s="17"/>
      <c r="EX67" s="17"/>
      <c r="EY67" s="17"/>
      <c r="EZ67" s="17"/>
      <c r="FA67" s="17"/>
      <c r="FB67" s="17"/>
      <c r="FC67" s="17"/>
      <c r="FD67" s="17"/>
      <c r="FE67" s="17"/>
      <c r="FF67" s="17"/>
      <c r="FG67" s="17"/>
      <c r="FH67" s="17"/>
      <c r="FI67" s="17"/>
      <c r="FJ67" s="17"/>
      <c r="FK67" s="17"/>
      <c r="FL67" s="17"/>
      <c r="FM67" s="17"/>
      <c r="FN67" s="17"/>
      <c r="FO67" s="17"/>
      <c r="FP67" s="17"/>
      <c r="FQ67" s="17"/>
      <c r="FR67" s="17"/>
      <c r="FS67" s="17"/>
      <c r="FT67" s="17"/>
      <c r="FU67" s="17"/>
      <c r="FV67" s="17"/>
      <c r="FW67" s="17"/>
      <c r="FX67" s="17"/>
      <c r="FY67" s="17"/>
      <c r="FZ67" s="17"/>
      <c r="GA67" s="17"/>
      <c r="GB67" s="17"/>
      <c r="GC67" s="17"/>
      <c r="GD67" s="17"/>
      <c r="GE67" s="17"/>
      <c r="GF67" s="17"/>
      <c r="GG67" s="17"/>
      <c r="GH67" s="17"/>
      <c r="GI67" s="17"/>
      <c r="GJ67" s="17"/>
      <c r="GK67" s="17"/>
      <c r="GL67" s="17"/>
      <c r="GM67" s="17"/>
      <c r="GN67" s="17"/>
      <c r="GO67" s="17"/>
      <c r="GP67" s="17"/>
      <c r="GQ67" s="17"/>
      <c r="GR67" s="17"/>
      <c r="GS67" s="17"/>
      <c r="GT67" s="17"/>
      <c r="GU67" s="17"/>
      <c r="GV67" s="17"/>
      <c r="GW67" s="17"/>
      <c r="GX67" s="17"/>
      <c r="GY67" s="17"/>
      <c r="GZ67" s="17"/>
      <c r="HA67" s="17"/>
      <c r="HB67" s="17"/>
      <c r="HC67" s="17"/>
      <c r="HD67" s="17"/>
      <c r="HE67" s="17"/>
      <c r="HF67" s="17"/>
      <c r="HG67" s="17"/>
      <c r="HH67" s="17"/>
      <c r="HI67" s="17"/>
      <c r="HJ67" s="17"/>
      <c r="HK67" s="17"/>
      <c r="HL67" s="17"/>
      <c r="HM67" s="17"/>
      <c r="HN67" s="17"/>
      <c r="HO67" s="17"/>
      <c r="HP67" s="17"/>
      <c r="HQ67" s="17"/>
      <c r="HR67" s="17"/>
      <c r="HS67" s="17"/>
      <c r="HT67" s="17"/>
      <c r="HU67" s="17"/>
      <c r="HV67" s="17"/>
      <c r="HW67" s="17"/>
      <c r="HX67" s="17"/>
      <c r="HY67" s="17"/>
      <c r="HZ67" s="17"/>
      <c r="IA67" s="17"/>
      <c r="IB67" s="17"/>
      <c r="IC67" s="17"/>
      <c r="ID67" s="17"/>
      <c r="IE67" s="17"/>
      <c r="IF67" s="17"/>
      <c r="IG67" s="17"/>
      <c r="IH67" s="17"/>
      <c r="II67" s="17"/>
      <c r="IJ67" s="17"/>
      <c r="IK67" s="17"/>
      <c r="IL67" s="17"/>
      <c r="IM67" s="17"/>
      <c r="IN67" s="17"/>
      <c r="IO67" s="17"/>
      <c r="IP67" s="17"/>
      <c r="IQ67" s="17"/>
      <c r="IR67" s="17"/>
      <c r="IS67" s="17"/>
      <c r="IT67" s="17"/>
      <c r="IU67" s="17"/>
      <c r="IV67" s="17"/>
    </row>
    <row r="68" spans="1:256" ht="14.25" x14ac:dyDescent="0.25">
      <c r="A68" s="73" t="s">
        <v>107</v>
      </c>
      <c r="B68" s="74"/>
      <c r="C68" s="74"/>
      <c r="D68" s="75"/>
      <c r="E68" s="139" t="s">
        <v>153</v>
      </c>
      <c r="F68" s="140"/>
      <c r="G68" s="141"/>
      <c r="H68" s="25">
        <v>0</v>
      </c>
      <c r="I68" s="25"/>
      <c r="J68" s="25">
        <v>0</v>
      </c>
      <c r="K68" s="25">
        <v>0</v>
      </c>
      <c r="L68" s="25"/>
      <c r="M68" s="25"/>
      <c r="N68" s="25"/>
      <c r="O68" s="10">
        <v>10</v>
      </c>
      <c r="P68" s="10"/>
      <c r="Q68" s="10"/>
      <c r="R68" s="10"/>
      <c r="S68" s="10"/>
      <c r="T68" s="10"/>
      <c r="U68" s="10"/>
      <c r="V68" s="10"/>
      <c r="W68" s="10"/>
      <c r="X68" s="10"/>
      <c r="Y68" s="27" t="s">
        <v>60</v>
      </c>
      <c r="Z68" s="66">
        <v>94</v>
      </c>
      <c r="AA68" s="67"/>
      <c r="AB68" s="67"/>
      <c r="AC68" s="68"/>
      <c r="AD68" s="70">
        <v>0</v>
      </c>
      <c r="AE68" s="71"/>
      <c r="AF68" s="72"/>
      <c r="AG68" s="33" t="s">
        <v>94</v>
      </c>
      <c r="AH68" s="66">
        <v>251</v>
      </c>
      <c r="AI68" s="67"/>
      <c r="AJ68" s="68"/>
      <c r="AK68" s="46" t="s">
        <v>168</v>
      </c>
      <c r="AL68" s="70">
        <v>345</v>
      </c>
      <c r="AM68" s="71"/>
      <c r="AN68" s="72"/>
      <c r="AO68" s="42"/>
      <c r="AP68" s="43"/>
      <c r="AQ68" s="44"/>
      <c r="AR68" s="31"/>
      <c r="AS68" s="29"/>
      <c r="AT68" s="60">
        <v>0</v>
      </c>
      <c r="AU68" s="61"/>
      <c r="AV68" s="62"/>
      <c r="AW68" s="20"/>
      <c r="AX68" s="20"/>
      <c r="AY68" s="20"/>
      <c r="AZ68" s="17"/>
      <c r="BA68" s="17"/>
      <c r="BB68" s="17"/>
      <c r="BC68" s="17"/>
      <c r="BD68" s="17"/>
      <c r="BE68" s="17"/>
      <c r="BF68" s="17"/>
      <c r="BG68" s="17"/>
      <c r="BH68" s="17"/>
      <c r="BI68" s="17"/>
      <c r="BJ68" s="17"/>
      <c r="BK68" s="17"/>
      <c r="BL68" s="17"/>
      <c r="BM68" s="17"/>
      <c r="BN68" s="17"/>
      <c r="BO68" s="17"/>
      <c r="BP68" s="17"/>
      <c r="BQ68" s="17"/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7"/>
      <c r="DG68" s="17"/>
      <c r="DH68" s="17"/>
      <c r="DI68" s="17"/>
      <c r="DJ68" s="17"/>
      <c r="DK68" s="17"/>
      <c r="DL68" s="17"/>
      <c r="DM68" s="17"/>
      <c r="DN68" s="17"/>
      <c r="DO68" s="17"/>
      <c r="DP68" s="17"/>
      <c r="DQ68" s="17"/>
      <c r="DR68" s="17"/>
      <c r="DS68" s="17"/>
      <c r="DT68" s="17"/>
      <c r="DU68" s="17"/>
      <c r="DV68" s="17"/>
      <c r="DW68" s="17"/>
      <c r="DX68" s="17"/>
      <c r="DY68" s="17"/>
      <c r="DZ68" s="17"/>
      <c r="EA68" s="17"/>
      <c r="EB68" s="17"/>
      <c r="EC68" s="17"/>
      <c r="ED68" s="17"/>
      <c r="EE68" s="17"/>
      <c r="EF68" s="17"/>
      <c r="EG68" s="17"/>
      <c r="EH68" s="17"/>
      <c r="EI68" s="17"/>
      <c r="EJ68" s="17"/>
      <c r="EK68" s="17"/>
      <c r="EL68" s="17"/>
      <c r="EM68" s="17"/>
      <c r="EN68" s="17"/>
      <c r="EO68" s="17"/>
      <c r="EP68" s="17"/>
      <c r="EQ68" s="17"/>
      <c r="ER68" s="17"/>
      <c r="ES68" s="17"/>
      <c r="ET68" s="17"/>
      <c r="EU68" s="17"/>
      <c r="EV68" s="17"/>
      <c r="EW68" s="17"/>
      <c r="EX68" s="17"/>
      <c r="EY68" s="17"/>
      <c r="EZ68" s="17"/>
      <c r="FA68" s="17"/>
      <c r="FB68" s="17"/>
      <c r="FC68" s="17"/>
      <c r="FD68" s="17"/>
      <c r="FE68" s="17"/>
      <c r="FF68" s="17"/>
      <c r="FG68" s="17"/>
      <c r="FH68" s="17"/>
      <c r="FI68" s="17"/>
      <c r="FJ68" s="17"/>
      <c r="FK68" s="17"/>
      <c r="FL68" s="17"/>
      <c r="FM68" s="17"/>
      <c r="FN68" s="17"/>
      <c r="FO68" s="17"/>
      <c r="FP68" s="17"/>
      <c r="FQ68" s="17"/>
      <c r="FR68" s="17"/>
      <c r="FS68" s="17"/>
      <c r="FT68" s="17"/>
      <c r="FU68" s="17"/>
      <c r="FV68" s="17"/>
      <c r="FW68" s="17"/>
      <c r="FX68" s="17"/>
      <c r="FY68" s="17"/>
      <c r="FZ68" s="17"/>
      <c r="GA68" s="17"/>
      <c r="GB68" s="17"/>
      <c r="GC68" s="17"/>
      <c r="GD68" s="17"/>
      <c r="GE68" s="17"/>
      <c r="GF68" s="17"/>
      <c r="GG68" s="17"/>
      <c r="GH68" s="17"/>
      <c r="GI68" s="17"/>
      <c r="GJ68" s="17"/>
      <c r="GK68" s="17"/>
      <c r="GL68" s="17"/>
      <c r="GM68" s="17"/>
      <c r="GN68" s="17"/>
      <c r="GO68" s="17"/>
      <c r="GP68" s="17"/>
      <c r="GQ68" s="17"/>
      <c r="GR68" s="17"/>
      <c r="GS68" s="17"/>
      <c r="GT68" s="17"/>
      <c r="GU68" s="17"/>
      <c r="GV68" s="17"/>
      <c r="GW68" s="17"/>
      <c r="GX68" s="17"/>
      <c r="GY68" s="17"/>
      <c r="GZ68" s="17"/>
      <c r="HA68" s="17"/>
      <c r="HB68" s="17"/>
      <c r="HC68" s="17"/>
      <c r="HD68" s="17"/>
      <c r="HE68" s="17"/>
      <c r="HF68" s="17"/>
      <c r="HG68" s="17"/>
      <c r="HH68" s="17"/>
      <c r="HI68" s="17"/>
      <c r="HJ68" s="17"/>
      <c r="HK68" s="17"/>
      <c r="HL68" s="17"/>
      <c r="HM68" s="17"/>
      <c r="HN68" s="17"/>
      <c r="HO68" s="17"/>
      <c r="HP68" s="17"/>
      <c r="HQ68" s="17"/>
      <c r="HR68" s="17"/>
      <c r="HS68" s="17"/>
      <c r="HT68" s="17"/>
      <c r="HU68" s="17"/>
      <c r="HV68" s="17"/>
      <c r="HW68" s="17"/>
      <c r="HX68" s="17"/>
      <c r="HY68" s="17"/>
      <c r="HZ68" s="17"/>
      <c r="IA68" s="17"/>
      <c r="IB68" s="17"/>
      <c r="IC68" s="17"/>
      <c r="ID68" s="17"/>
      <c r="IE68" s="17"/>
      <c r="IF68" s="17"/>
      <c r="IG68" s="17"/>
      <c r="IH68" s="17"/>
      <c r="II68" s="17"/>
      <c r="IJ68" s="17"/>
      <c r="IK68" s="17"/>
      <c r="IL68" s="17"/>
      <c r="IM68" s="17"/>
      <c r="IN68" s="17"/>
      <c r="IO68" s="17"/>
      <c r="IP68" s="17"/>
      <c r="IQ68" s="17"/>
      <c r="IR68" s="17"/>
      <c r="IS68" s="17"/>
      <c r="IT68" s="17"/>
      <c r="IU68" s="17"/>
      <c r="IV68" s="17"/>
    </row>
    <row r="69" spans="1:256" ht="16.5" customHeight="1" x14ac:dyDescent="0.25">
      <c r="A69" s="73" t="s">
        <v>108</v>
      </c>
      <c r="B69" s="74"/>
      <c r="C69" s="74"/>
      <c r="D69" s="75"/>
      <c r="E69" s="158" t="s">
        <v>91</v>
      </c>
      <c r="F69" s="159"/>
      <c r="G69" s="160"/>
      <c r="H69" s="25">
        <v>34.4</v>
      </c>
      <c r="I69" s="25"/>
      <c r="J69" s="25">
        <v>0</v>
      </c>
      <c r="K69" s="25">
        <v>0</v>
      </c>
      <c r="L69" s="25"/>
      <c r="M69" s="25"/>
      <c r="N69" s="25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27" t="s">
        <v>60</v>
      </c>
      <c r="Z69" s="66">
        <v>0</v>
      </c>
      <c r="AA69" s="67"/>
      <c r="AB69" s="67"/>
      <c r="AC69" s="68"/>
      <c r="AD69" s="66"/>
      <c r="AE69" s="67"/>
      <c r="AF69" s="68"/>
      <c r="AG69" s="33" t="s">
        <v>61</v>
      </c>
      <c r="AH69" s="66"/>
      <c r="AI69" s="67"/>
      <c r="AJ69" s="68"/>
      <c r="AK69" s="46"/>
      <c r="AL69" s="66">
        <v>0</v>
      </c>
      <c r="AM69" s="67"/>
      <c r="AN69" s="68"/>
      <c r="AO69" s="42"/>
      <c r="AP69" s="43"/>
      <c r="AQ69" s="44"/>
      <c r="AR69" s="31"/>
      <c r="AS69" s="29"/>
      <c r="AT69" s="60">
        <v>0</v>
      </c>
      <c r="AU69" s="61"/>
      <c r="AV69" s="62"/>
      <c r="AW69" s="20"/>
      <c r="AX69" s="20"/>
      <c r="AY69" s="20"/>
      <c r="AZ69" s="17"/>
      <c r="BA69" s="17"/>
      <c r="BB69" s="17"/>
      <c r="BC69" s="17"/>
      <c r="BD69" s="17"/>
      <c r="BE69" s="17"/>
      <c r="BF69" s="17"/>
      <c r="BG69" s="17"/>
      <c r="BH69" s="17"/>
      <c r="BI69" s="17"/>
      <c r="BJ69" s="17"/>
      <c r="BK69" s="17"/>
      <c r="BL69" s="17"/>
      <c r="BM69" s="17"/>
      <c r="BN69" s="17"/>
      <c r="BO69" s="17"/>
      <c r="BP69" s="17"/>
      <c r="BQ69" s="17"/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7"/>
      <c r="DG69" s="17"/>
      <c r="DH69" s="17"/>
      <c r="DI69" s="17"/>
      <c r="DJ69" s="17"/>
      <c r="DK69" s="17"/>
      <c r="DL69" s="17"/>
      <c r="DM69" s="17"/>
      <c r="DN69" s="17"/>
      <c r="DO69" s="17"/>
      <c r="DP69" s="17"/>
      <c r="DQ69" s="17"/>
      <c r="DR69" s="17"/>
      <c r="DS69" s="17"/>
      <c r="DT69" s="17"/>
      <c r="DU69" s="17"/>
      <c r="DV69" s="17"/>
      <c r="DW69" s="17"/>
      <c r="DX69" s="17"/>
      <c r="DY69" s="17"/>
      <c r="DZ69" s="17"/>
      <c r="EA69" s="17"/>
      <c r="EB69" s="17"/>
      <c r="EC69" s="17"/>
      <c r="ED69" s="17"/>
      <c r="EE69" s="17"/>
      <c r="EF69" s="17"/>
      <c r="EG69" s="17"/>
      <c r="EH69" s="17"/>
      <c r="EI69" s="17"/>
      <c r="EJ69" s="17"/>
      <c r="EK69" s="17"/>
      <c r="EL69" s="17"/>
      <c r="EM69" s="17"/>
      <c r="EN69" s="17"/>
      <c r="EO69" s="17"/>
      <c r="EP69" s="17"/>
      <c r="EQ69" s="17"/>
      <c r="ER69" s="17"/>
      <c r="ES69" s="17"/>
      <c r="ET69" s="17"/>
      <c r="EU69" s="17"/>
      <c r="EV69" s="17"/>
      <c r="EW69" s="17"/>
      <c r="EX69" s="17"/>
      <c r="EY69" s="17"/>
      <c r="EZ69" s="17"/>
      <c r="FA69" s="17"/>
      <c r="FB69" s="17"/>
      <c r="FC69" s="17"/>
      <c r="FD69" s="17"/>
      <c r="FE69" s="17"/>
      <c r="FF69" s="17"/>
      <c r="FG69" s="17"/>
      <c r="FH69" s="17"/>
      <c r="FI69" s="17"/>
      <c r="FJ69" s="17"/>
      <c r="FK69" s="17"/>
      <c r="FL69" s="17"/>
      <c r="FM69" s="17"/>
      <c r="FN69" s="17"/>
      <c r="FO69" s="17"/>
      <c r="FP69" s="17"/>
      <c r="FQ69" s="17"/>
      <c r="FR69" s="17"/>
      <c r="FS69" s="17"/>
      <c r="FT69" s="17"/>
      <c r="FU69" s="17"/>
      <c r="FV69" s="17"/>
      <c r="FW69" s="17"/>
      <c r="FX69" s="17"/>
      <c r="FY69" s="17"/>
      <c r="FZ69" s="17"/>
      <c r="GA69" s="17"/>
      <c r="GB69" s="17"/>
      <c r="GC69" s="17"/>
      <c r="GD69" s="17"/>
      <c r="GE69" s="17"/>
      <c r="GF69" s="17"/>
      <c r="GG69" s="17"/>
      <c r="GH69" s="17"/>
      <c r="GI69" s="17"/>
      <c r="GJ69" s="17"/>
      <c r="GK69" s="17"/>
      <c r="GL69" s="17"/>
      <c r="GM69" s="17"/>
      <c r="GN69" s="17"/>
      <c r="GO69" s="17"/>
      <c r="GP69" s="17"/>
      <c r="GQ69" s="17"/>
      <c r="GR69" s="17"/>
      <c r="GS69" s="17"/>
      <c r="GT69" s="17"/>
      <c r="GU69" s="17"/>
      <c r="GV69" s="17"/>
      <c r="GW69" s="17"/>
      <c r="GX69" s="17"/>
      <c r="GY69" s="17"/>
      <c r="GZ69" s="17"/>
      <c r="HA69" s="17"/>
      <c r="HB69" s="17"/>
      <c r="HC69" s="17"/>
      <c r="HD69" s="17"/>
      <c r="HE69" s="17"/>
      <c r="HF69" s="17"/>
      <c r="HG69" s="17"/>
      <c r="HH69" s="17"/>
      <c r="HI69" s="17"/>
      <c r="HJ69" s="17"/>
      <c r="HK69" s="17"/>
      <c r="HL69" s="17"/>
      <c r="HM69" s="17"/>
      <c r="HN69" s="17"/>
      <c r="HO69" s="17"/>
      <c r="HP69" s="17"/>
      <c r="HQ69" s="17"/>
      <c r="HR69" s="17"/>
      <c r="HS69" s="17"/>
      <c r="HT69" s="17"/>
      <c r="HU69" s="17"/>
      <c r="HV69" s="17"/>
      <c r="HW69" s="17"/>
      <c r="HX69" s="17"/>
      <c r="HY69" s="17"/>
      <c r="HZ69" s="17"/>
      <c r="IA69" s="17"/>
      <c r="IB69" s="17"/>
      <c r="IC69" s="17"/>
      <c r="ID69" s="17"/>
      <c r="IE69" s="17"/>
      <c r="IF69" s="17"/>
      <c r="IG69" s="17"/>
      <c r="IH69" s="17"/>
      <c r="II69" s="17"/>
      <c r="IJ69" s="17"/>
      <c r="IK69" s="17"/>
      <c r="IL69" s="17"/>
      <c r="IM69" s="17"/>
      <c r="IN69" s="17"/>
      <c r="IO69" s="17"/>
      <c r="IP69" s="17"/>
      <c r="IQ69" s="17"/>
      <c r="IR69" s="17"/>
      <c r="IS69" s="17"/>
      <c r="IT69" s="17"/>
      <c r="IU69" s="17"/>
      <c r="IV69" s="17"/>
    </row>
    <row r="70" spans="1:256" x14ac:dyDescent="0.25">
      <c r="A70" s="73" t="s">
        <v>108</v>
      </c>
      <c r="B70" s="74"/>
      <c r="C70" s="74"/>
      <c r="D70" s="75"/>
      <c r="E70" s="154" t="s">
        <v>137</v>
      </c>
      <c r="F70" s="155"/>
      <c r="G70" s="156"/>
      <c r="H70" s="25">
        <v>34</v>
      </c>
      <c r="I70" s="25"/>
      <c r="J70" s="25">
        <v>0</v>
      </c>
      <c r="K70" s="25">
        <v>0</v>
      </c>
      <c r="L70" s="25"/>
      <c r="M70" s="25"/>
      <c r="N70" s="25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27" t="s">
        <v>60</v>
      </c>
      <c r="Z70" s="66">
        <v>0</v>
      </c>
      <c r="AA70" s="67"/>
      <c r="AB70" s="67"/>
      <c r="AC70" s="68"/>
      <c r="AD70" s="76">
        <v>621.23</v>
      </c>
      <c r="AE70" s="77"/>
      <c r="AF70" s="78"/>
      <c r="AG70" s="28" t="s">
        <v>130</v>
      </c>
      <c r="AH70" s="66"/>
      <c r="AI70" s="67"/>
      <c r="AJ70" s="68"/>
      <c r="AK70" s="30"/>
      <c r="AL70" s="76">
        <v>621.23</v>
      </c>
      <c r="AM70" s="77"/>
      <c r="AN70" s="78"/>
      <c r="AO70" s="42"/>
      <c r="AP70" s="43"/>
      <c r="AQ70" s="44"/>
      <c r="AR70" s="31"/>
      <c r="AS70" s="29"/>
      <c r="AT70" s="88">
        <v>0</v>
      </c>
      <c r="AU70" s="89"/>
      <c r="AV70" s="90"/>
      <c r="AW70" s="17"/>
      <c r="AX70" s="17"/>
      <c r="AY70" s="17"/>
      <c r="AZ70" s="17"/>
      <c r="BA70" s="17"/>
      <c r="BB70" s="17"/>
      <c r="BC70" s="17"/>
      <c r="BD70" s="17"/>
      <c r="BE70" s="17"/>
      <c r="BF70" s="17"/>
      <c r="BG70" s="17"/>
      <c r="BH70" s="17"/>
      <c r="BI70" s="17"/>
      <c r="BJ70" s="17"/>
      <c r="BK70" s="17"/>
      <c r="BL70" s="17"/>
      <c r="BM70" s="17"/>
      <c r="BN70" s="17"/>
      <c r="BO70" s="17"/>
      <c r="BP70" s="17"/>
      <c r="BQ70" s="17"/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17"/>
      <c r="DF70" s="17"/>
      <c r="DG70" s="17"/>
      <c r="DH70" s="17"/>
      <c r="DI70" s="17"/>
      <c r="DJ70" s="17"/>
      <c r="DK70" s="17"/>
      <c r="DL70" s="17"/>
      <c r="DM70" s="17"/>
      <c r="DN70" s="17"/>
      <c r="DO70" s="17"/>
      <c r="DP70" s="17"/>
      <c r="DQ70" s="17"/>
      <c r="DR70" s="17"/>
      <c r="DS70" s="17"/>
      <c r="DT70" s="17"/>
      <c r="DU70" s="17"/>
      <c r="DV70" s="17"/>
      <c r="DW70" s="17"/>
      <c r="DX70" s="17"/>
      <c r="DY70" s="17"/>
      <c r="DZ70" s="17"/>
      <c r="EA70" s="17"/>
      <c r="EB70" s="17"/>
      <c r="EC70" s="17"/>
      <c r="ED70" s="17"/>
      <c r="EE70" s="17"/>
      <c r="EF70" s="17"/>
      <c r="EG70" s="17"/>
      <c r="EH70" s="17"/>
      <c r="EI70" s="17"/>
      <c r="EJ70" s="17"/>
      <c r="EK70" s="17"/>
      <c r="EL70" s="17"/>
      <c r="EM70" s="17"/>
      <c r="EN70" s="17"/>
      <c r="EO70" s="17"/>
      <c r="EP70" s="17"/>
      <c r="EQ70" s="17"/>
      <c r="ER70" s="17"/>
      <c r="ES70" s="17"/>
      <c r="ET70" s="17"/>
      <c r="EU70" s="17"/>
      <c r="EV70" s="17"/>
      <c r="EW70" s="17"/>
      <c r="EX70" s="17"/>
      <c r="EY70" s="17"/>
      <c r="EZ70" s="17"/>
      <c r="FA70" s="17"/>
      <c r="FB70" s="17"/>
      <c r="FC70" s="17"/>
      <c r="FD70" s="17"/>
      <c r="FE70" s="17"/>
      <c r="FF70" s="17"/>
      <c r="FG70" s="17"/>
      <c r="FH70" s="17"/>
      <c r="FI70" s="17"/>
      <c r="FJ70" s="17"/>
      <c r="FK70" s="17"/>
      <c r="FL70" s="17"/>
      <c r="FM70" s="17"/>
      <c r="FN70" s="17"/>
      <c r="FO70" s="17"/>
      <c r="FP70" s="17"/>
      <c r="FQ70" s="17"/>
      <c r="FR70" s="17"/>
      <c r="FS70" s="17"/>
      <c r="FT70" s="17"/>
      <c r="FU70" s="17"/>
      <c r="FV70" s="17"/>
      <c r="FW70" s="17"/>
      <c r="FX70" s="17"/>
      <c r="FY70" s="17"/>
      <c r="FZ70" s="17"/>
      <c r="GA70" s="17"/>
      <c r="GB70" s="17"/>
      <c r="GC70" s="17"/>
      <c r="GD70" s="17"/>
      <c r="GE70" s="17"/>
      <c r="GF70" s="17"/>
      <c r="GG70" s="17"/>
      <c r="GH70" s="17"/>
      <c r="GI70" s="17"/>
      <c r="GJ70" s="17"/>
      <c r="GK70" s="17"/>
      <c r="GL70" s="17"/>
      <c r="GM70" s="17"/>
      <c r="GN70" s="17"/>
      <c r="GO70" s="17"/>
      <c r="GP70" s="17"/>
      <c r="GQ70" s="17"/>
      <c r="GR70" s="17"/>
      <c r="GS70" s="17"/>
      <c r="GT70" s="17"/>
      <c r="GU70" s="17"/>
      <c r="GV70" s="17"/>
      <c r="GW70" s="17"/>
      <c r="GX70" s="17"/>
      <c r="GY70" s="17"/>
      <c r="GZ70" s="17"/>
      <c r="HA70" s="17"/>
      <c r="HB70" s="17"/>
      <c r="HC70" s="17"/>
      <c r="HD70" s="17"/>
      <c r="HE70" s="17"/>
      <c r="HF70" s="17"/>
      <c r="HG70" s="17"/>
      <c r="HH70" s="17"/>
      <c r="HI70" s="17"/>
      <c r="HJ70" s="17"/>
      <c r="HK70" s="17"/>
      <c r="HL70" s="17"/>
      <c r="HM70" s="17"/>
      <c r="HN70" s="17"/>
      <c r="HO70" s="17"/>
      <c r="HP70" s="17"/>
      <c r="HQ70" s="17"/>
      <c r="HR70" s="17"/>
      <c r="HS70" s="17"/>
      <c r="HT70" s="17"/>
      <c r="HU70" s="17"/>
      <c r="HV70" s="17"/>
      <c r="HW70" s="17"/>
      <c r="HX70" s="17"/>
      <c r="HY70" s="17"/>
      <c r="HZ70" s="17"/>
      <c r="IA70" s="17"/>
      <c r="IB70" s="17"/>
      <c r="IC70" s="17"/>
      <c r="ID70" s="17"/>
      <c r="IE70" s="17"/>
      <c r="IF70" s="17"/>
      <c r="IG70" s="17"/>
      <c r="IH70" s="17"/>
      <c r="II70" s="17"/>
      <c r="IJ70" s="17"/>
      <c r="IK70" s="17"/>
      <c r="IL70" s="17"/>
      <c r="IM70" s="17"/>
      <c r="IN70" s="17"/>
      <c r="IO70" s="17"/>
      <c r="IP70" s="17"/>
      <c r="IQ70" s="17"/>
      <c r="IR70" s="17"/>
      <c r="IS70" s="17"/>
      <c r="IT70" s="17"/>
      <c r="IU70" s="17"/>
      <c r="IV70" s="17"/>
    </row>
    <row r="71" spans="1:256" x14ac:dyDescent="0.25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24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21"/>
      <c r="AT71" s="17"/>
      <c r="AU71" s="17"/>
      <c r="AV71" s="17"/>
      <c r="AW71" s="17"/>
      <c r="AX71" s="17"/>
      <c r="AY71" s="17"/>
      <c r="AZ71" s="17"/>
      <c r="BA71" s="17"/>
      <c r="BB71" s="17"/>
      <c r="BC71" s="17"/>
      <c r="BD71" s="17"/>
      <c r="BE71" s="17"/>
      <c r="BF71" s="17"/>
      <c r="BG71" s="17"/>
      <c r="BH71" s="17"/>
      <c r="BI71" s="17"/>
      <c r="BJ71" s="17"/>
      <c r="BK71" s="17"/>
      <c r="BL71" s="17"/>
      <c r="BM71" s="17"/>
      <c r="BN71" s="17"/>
      <c r="BO71" s="17"/>
      <c r="BP71" s="17"/>
      <c r="BQ71" s="17"/>
      <c r="BR71" s="17"/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7"/>
      <c r="DG71" s="17"/>
      <c r="DH71" s="17"/>
      <c r="DI71" s="17"/>
      <c r="DJ71" s="17"/>
      <c r="DK71" s="17"/>
      <c r="DL71" s="17"/>
      <c r="DM71" s="17"/>
      <c r="DN71" s="17"/>
      <c r="DO71" s="17"/>
      <c r="DP71" s="17"/>
      <c r="DQ71" s="17"/>
      <c r="DR71" s="17"/>
      <c r="DS71" s="17"/>
      <c r="DT71" s="17"/>
      <c r="DU71" s="17"/>
      <c r="DV71" s="17"/>
      <c r="DW71" s="17"/>
      <c r="DX71" s="17"/>
      <c r="DY71" s="17"/>
      <c r="DZ71" s="17"/>
      <c r="EA71" s="17"/>
      <c r="EB71" s="17"/>
      <c r="EC71" s="17"/>
      <c r="ED71" s="17"/>
      <c r="EE71" s="17"/>
      <c r="EF71" s="17"/>
      <c r="EG71" s="17"/>
      <c r="EH71" s="17"/>
      <c r="EI71" s="17"/>
      <c r="EJ71" s="17"/>
      <c r="EK71" s="17"/>
      <c r="EL71" s="17"/>
      <c r="EM71" s="17"/>
      <c r="EN71" s="17"/>
      <c r="EO71" s="17"/>
      <c r="EP71" s="17"/>
      <c r="EQ71" s="17"/>
      <c r="ER71" s="17"/>
      <c r="ES71" s="17"/>
      <c r="ET71" s="17"/>
      <c r="EU71" s="17"/>
      <c r="EV71" s="17"/>
      <c r="EW71" s="17"/>
      <c r="EX71" s="17"/>
      <c r="EY71" s="17"/>
      <c r="EZ71" s="17"/>
      <c r="FA71" s="17"/>
      <c r="FB71" s="17"/>
      <c r="FC71" s="17"/>
      <c r="FD71" s="17"/>
      <c r="FE71" s="17"/>
      <c r="FF71" s="17"/>
      <c r="FG71" s="17"/>
      <c r="FH71" s="17"/>
      <c r="FI71" s="17"/>
      <c r="FJ71" s="17"/>
      <c r="FK71" s="17"/>
      <c r="FL71" s="17"/>
      <c r="FM71" s="17"/>
      <c r="FN71" s="17"/>
      <c r="FO71" s="17"/>
      <c r="FP71" s="17"/>
      <c r="FQ71" s="17"/>
      <c r="FR71" s="17"/>
      <c r="FS71" s="17"/>
      <c r="FT71" s="17"/>
      <c r="FU71" s="17"/>
      <c r="FV71" s="17"/>
      <c r="FW71" s="17"/>
      <c r="FX71" s="17"/>
      <c r="FY71" s="17"/>
      <c r="FZ71" s="17"/>
      <c r="GA71" s="17"/>
      <c r="GB71" s="17"/>
      <c r="GC71" s="17"/>
      <c r="GD71" s="17"/>
      <c r="GE71" s="17"/>
      <c r="GF71" s="17"/>
      <c r="GG71" s="17"/>
      <c r="GH71" s="17"/>
      <c r="GI71" s="17"/>
      <c r="GJ71" s="17"/>
      <c r="GK71" s="17"/>
      <c r="GL71" s="17"/>
      <c r="GM71" s="17"/>
      <c r="GN71" s="17"/>
      <c r="GO71" s="17"/>
      <c r="GP71" s="17"/>
      <c r="GQ71" s="17"/>
      <c r="GR71" s="17"/>
      <c r="GS71" s="17"/>
      <c r="GT71" s="17"/>
      <c r="GU71" s="17"/>
      <c r="GV71" s="17"/>
      <c r="GW71" s="17"/>
      <c r="GX71" s="17"/>
      <c r="GY71" s="17"/>
      <c r="GZ71" s="17"/>
      <c r="HA71" s="17"/>
      <c r="HB71" s="17"/>
      <c r="HC71" s="17"/>
      <c r="HD71" s="17"/>
      <c r="HE71" s="17"/>
      <c r="HF71" s="17"/>
      <c r="HG71" s="17"/>
      <c r="HH71" s="17"/>
      <c r="HI71" s="17"/>
      <c r="HJ71" s="17"/>
      <c r="HK71" s="17"/>
      <c r="HL71" s="17"/>
      <c r="HM71" s="17"/>
      <c r="HN71" s="17"/>
      <c r="HO71" s="17"/>
      <c r="HP71" s="17"/>
      <c r="HQ71" s="17"/>
      <c r="HR71" s="17"/>
      <c r="HS71" s="17"/>
      <c r="HT71" s="17"/>
      <c r="HU71" s="17"/>
      <c r="HV71" s="17"/>
      <c r="HW71" s="17"/>
      <c r="HX71" s="17"/>
      <c r="HY71" s="17"/>
      <c r="HZ71" s="17"/>
      <c r="IA71" s="17"/>
      <c r="IB71" s="17"/>
      <c r="IC71" s="17"/>
      <c r="ID71" s="17"/>
      <c r="IE71" s="17"/>
      <c r="IF71" s="17"/>
      <c r="IG71" s="17"/>
      <c r="IH71" s="17"/>
      <c r="II71" s="17"/>
      <c r="IJ71" s="17"/>
      <c r="IK71" s="17"/>
      <c r="IL71" s="17"/>
      <c r="IM71" s="17"/>
      <c r="IN71" s="17"/>
      <c r="IO71" s="17"/>
      <c r="IP71" s="17"/>
      <c r="IQ71" s="17"/>
      <c r="IR71" s="17"/>
      <c r="IS71" s="17"/>
      <c r="IT71" s="17"/>
      <c r="IU71" s="17"/>
      <c r="IV71" s="17"/>
    </row>
    <row r="72" spans="1:256" x14ac:dyDescent="0.25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45"/>
      <c r="AF72" s="17"/>
      <c r="AG72" s="17"/>
      <c r="AH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  <c r="AY72" s="17"/>
      <c r="AZ72" s="17"/>
      <c r="BA72" s="17"/>
      <c r="BB72" s="17"/>
      <c r="BC72" s="17"/>
      <c r="BD72" s="17"/>
      <c r="BE72" s="17"/>
      <c r="BF72" s="17"/>
      <c r="BG72" s="17"/>
      <c r="BH72" s="17"/>
      <c r="BI72" s="17"/>
      <c r="BJ72" s="17"/>
      <c r="BK72" s="17"/>
      <c r="BL72" s="17"/>
      <c r="BM72" s="17"/>
      <c r="BN72" s="17"/>
      <c r="BO72" s="17"/>
      <c r="BP72" s="17"/>
      <c r="BQ72" s="17"/>
      <c r="BR72" s="17"/>
      <c r="BS72" s="17"/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/>
      <c r="DD72" s="17"/>
      <c r="DE72" s="17"/>
      <c r="DF72" s="17"/>
      <c r="DG72" s="17"/>
      <c r="DH72" s="17"/>
      <c r="DI72" s="17"/>
      <c r="DJ72" s="17"/>
      <c r="DK72" s="17"/>
      <c r="DL72" s="17"/>
      <c r="DM72" s="17"/>
      <c r="DN72" s="17"/>
      <c r="DO72" s="17"/>
      <c r="DP72" s="17"/>
      <c r="DQ72" s="17"/>
      <c r="DR72" s="17"/>
      <c r="DS72" s="17"/>
      <c r="DT72" s="17"/>
      <c r="DU72" s="17"/>
      <c r="DV72" s="17"/>
      <c r="DW72" s="17"/>
      <c r="DX72" s="17"/>
      <c r="DY72" s="17"/>
      <c r="DZ72" s="17"/>
      <c r="EA72" s="17"/>
      <c r="EB72" s="17"/>
      <c r="EC72" s="17"/>
      <c r="ED72" s="17"/>
      <c r="EE72" s="17"/>
      <c r="EF72" s="17"/>
      <c r="EG72" s="17"/>
      <c r="EH72" s="17"/>
      <c r="EI72" s="17"/>
      <c r="EJ72" s="17"/>
      <c r="EK72" s="17"/>
      <c r="EL72" s="17"/>
      <c r="EM72" s="17"/>
      <c r="EN72" s="17"/>
      <c r="EO72" s="17"/>
      <c r="EP72" s="17"/>
      <c r="EQ72" s="17"/>
      <c r="ER72" s="17"/>
      <c r="ES72" s="17"/>
      <c r="ET72" s="17"/>
      <c r="EU72" s="17"/>
      <c r="EV72" s="17"/>
      <c r="EW72" s="17"/>
      <c r="EX72" s="17"/>
      <c r="EY72" s="17"/>
      <c r="EZ72" s="17"/>
      <c r="FA72" s="17"/>
      <c r="FB72" s="17"/>
      <c r="FC72" s="17"/>
      <c r="FD72" s="17"/>
      <c r="FE72" s="17"/>
      <c r="FF72" s="17"/>
      <c r="FG72" s="17"/>
      <c r="FH72" s="17"/>
      <c r="FI72" s="17"/>
      <c r="FJ72" s="17"/>
      <c r="FK72" s="17"/>
      <c r="FL72" s="17"/>
      <c r="FM72" s="17"/>
      <c r="FN72" s="17"/>
      <c r="FO72" s="17"/>
      <c r="FP72" s="17"/>
      <c r="FQ72" s="17"/>
      <c r="FR72" s="17"/>
      <c r="FS72" s="17"/>
      <c r="FT72" s="17"/>
      <c r="FU72" s="17"/>
      <c r="FV72" s="17"/>
      <c r="FW72" s="17"/>
      <c r="FX72" s="17"/>
      <c r="FY72" s="17"/>
      <c r="FZ72" s="17"/>
      <c r="GA72" s="17"/>
      <c r="GB72" s="17"/>
      <c r="GC72" s="17"/>
      <c r="GD72" s="17"/>
      <c r="GE72" s="17"/>
      <c r="GF72" s="17"/>
      <c r="GG72" s="17"/>
      <c r="GH72" s="17"/>
      <c r="GI72" s="17"/>
      <c r="GJ72" s="17"/>
      <c r="GK72" s="17"/>
      <c r="GL72" s="17"/>
      <c r="GM72" s="17"/>
      <c r="GN72" s="17"/>
      <c r="GO72" s="17"/>
      <c r="GP72" s="17"/>
      <c r="GQ72" s="17"/>
      <c r="GR72" s="17"/>
      <c r="GS72" s="17"/>
      <c r="GT72" s="17"/>
      <c r="GU72" s="17"/>
      <c r="GV72" s="17"/>
      <c r="GW72" s="17"/>
      <c r="GX72" s="17"/>
      <c r="GY72" s="17"/>
      <c r="GZ72" s="17"/>
      <c r="HA72" s="17"/>
      <c r="HB72" s="17"/>
      <c r="HC72" s="17"/>
      <c r="HD72" s="17"/>
      <c r="HE72" s="17"/>
      <c r="HF72" s="17"/>
      <c r="HG72" s="17"/>
      <c r="HH72" s="17"/>
      <c r="HI72" s="17"/>
      <c r="HJ72" s="17"/>
      <c r="HK72" s="17"/>
      <c r="HL72" s="17"/>
      <c r="HM72" s="17"/>
      <c r="HN72" s="17"/>
      <c r="HO72" s="17"/>
      <c r="HP72" s="17"/>
      <c r="HQ72" s="17"/>
      <c r="HR72" s="17"/>
      <c r="HS72" s="17"/>
      <c r="HT72" s="17"/>
      <c r="HU72" s="17"/>
      <c r="HV72" s="17"/>
      <c r="HW72" s="17"/>
      <c r="HX72" s="17"/>
      <c r="HY72" s="17"/>
      <c r="HZ72" s="17"/>
      <c r="IA72" s="17"/>
      <c r="IB72" s="17"/>
      <c r="IC72" s="17"/>
      <c r="ID72" s="17"/>
      <c r="IE72" s="17"/>
      <c r="IF72" s="17"/>
      <c r="IG72" s="17"/>
      <c r="IH72" s="17"/>
      <c r="II72" s="17"/>
      <c r="IJ72" s="17"/>
      <c r="IK72" s="17"/>
      <c r="IL72" s="17"/>
      <c r="IM72" s="17"/>
      <c r="IN72" s="17"/>
      <c r="IO72" s="17"/>
      <c r="IP72" s="17"/>
      <c r="IQ72" s="17"/>
      <c r="IR72" s="17"/>
      <c r="IS72" s="17"/>
      <c r="IT72" s="17"/>
      <c r="IU72" s="17"/>
      <c r="IV72" s="17"/>
    </row>
    <row r="73" spans="1:256" x14ac:dyDescent="0.25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  <c r="AY73" s="17"/>
      <c r="AZ73" s="17"/>
      <c r="BA73" s="17"/>
      <c r="BB73" s="17"/>
      <c r="BC73" s="17"/>
      <c r="BD73" s="17"/>
      <c r="BE73" s="17"/>
      <c r="BF73" s="17"/>
      <c r="BG73" s="17"/>
      <c r="BH73" s="17"/>
      <c r="BI73" s="17"/>
      <c r="BJ73" s="17"/>
      <c r="BK73" s="17"/>
      <c r="BL73" s="17"/>
      <c r="BM73" s="17"/>
      <c r="BN73" s="17"/>
      <c r="BO73" s="17"/>
      <c r="BP73" s="17"/>
      <c r="BQ73" s="17"/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17"/>
      <c r="DF73" s="17"/>
      <c r="DG73" s="17"/>
      <c r="DH73" s="17"/>
      <c r="DI73" s="17"/>
      <c r="DJ73" s="17"/>
      <c r="DK73" s="17"/>
      <c r="DL73" s="17"/>
      <c r="DM73" s="17"/>
      <c r="DN73" s="17"/>
      <c r="DO73" s="17"/>
      <c r="DP73" s="17"/>
      <c r="DQ73" s="17"/>
      <c r="DR73" s="17"/>
      <c r="DS73" s="17"/>
      <c r="DT73" s="17"/>
      <c r="DU73" s="17"/>
      <c r="DV73" s="17"/>
      <c r="DW73" s="17"/>
      <c r="DX73" s="17"/>
      <c r="DY73" s="17"/>
      <c r="DZ73" s="17"/>
      <c r="EA73" s="17"/>
      <c r="EB73" s="17"/>
      <c r="EC73" s="17"/>
      <c r="ED73" s="17"/>
      <c r="EE73" s="17"/>
      <c r="EF73" s="17"/>
      <c r="EG73" s="17"/>
      <c r="EH73" s="17"/>
      <c r="EI73" s="17"/>
      <c r="EJ73" s="17"/>
      <c r="EK73" s="17"/>
      <c r="EL73" s="17"/>
      <c r="EM73" s="17"/>
      <c r="EN73" s="17"/>
      <c r="EO73" s="17"/>
      <c r="EP73" s="17"/>
      <c r="EQ73" s="17"/>
      <c r="ER73" s="17"/>
      <c r="ES73" s="17"/>
      <c r="ET73" s="17"/>
      <c r="EU73" s="17"/>
      <c r="EV73" s="17"/>
      <c r="EW73" s="17"/>
      <c r="EX73" s="17"/>
      <c r="EY73" s="17"/>
      <c r="EZ73" s="17"/>
      <c r="FA73" s="17"/>
      <c r="FB73" s="17"/>
      <c r="FC73" s="17"/>
      <c r="FD73" s="17"/>
      <c r="FE73" s="17"/>
      <c r="FF73" s="17"/>
      <c r="FG73" s="17"/>
      <c r="FH73" s="17"/>
      <c r="FI73" s="17"/>
      <c r="FJ73" s="17"/>
      <c r="FK73" s="17"/>
      <c r="FL73" s="17"/>
      <c r="FM73" s="17"/>
      <c r="FN73" s="17"/>
      <c r="FO73" s="17"/>
      <c r="FP73" s="17"/>
      <c r="FQ73" s="17"/>
      <c r="FR73" s="17"/>
      <c r="FS73" s="17"/>
      <c r="FT73" s="17"/>
      <c r="FU73" s="17"/>
      <c r="FV73" s="17"/>
      <c r="FW73" s="17"/>
      <c r="FX73" s="17"/>
      <c r="FY73" s="17"/>
      <c r="FZ73" s="17"/>
      <c r="GA73" s="17"/>
      <c r="GB73" s="17"/>
      <c r="GC73" s="17"/>
      <c r="GD73" s="17"/>
      <c r="GE73" s="17"/>
      <c r="GF73" s="17"/>
      <c r="GG73" s="17"/>
      <c r="GH73" s="17"/>
      <c r="GI73" s="17"/>
      <c r="GJ73" s="17"/>
      <c r="GK73" s="17"/>
      <c r="GL73" s="17"/>
      <c r="GM73" s="17"/>
      <c r="GN73" s="17"/>
      <c r="GO73" s="17"/>
      <c r="GP73" s="17"/>
      <c r="GQ73" s="17"/>
      <c r="GR73" s="17"/>
      <c r="GS73" s="17"/>
      <c r="GT73" s="17"/>
      <c r="GU73" s="17"/>
      <c r="GV73" s="17"/>
      <c r="GW73" s="17"/>
      <c r="GX73" s="17"/>
      <c r="GY73" s="17"/>
      <c r="GZ73" s="17"/>
      <c r="HA73" s="17"/>
      <c r="HB73" s="17"/>
      <c r="HC73" s="17"/>
      <c r="HD73" s="17"/>
      <c r="HE73" s="17"/>
      <c r="HF73" s="17"/>
      <c r="HG73" s="17"/>
      <c r="HH73" s="17"/>
      <c r="HI73" s="17"/>
      <c r="HJ73" s="17"/>
      <c r="HK73" s="17"/>
      <c r="HL73" s="17"/>
      <c r="HM73" s="17"/>
      <c r="HN73" s="17"/>
      <c r="HO73" s="17"/>
      <c r="HP73" s="17"/>
      <c r="HQ73" s="17"/>
      <c r="HR73" s="17"/>
      <c r="HS73" s="17"/>
      <c r="HT73" s="17"/>
      <c r="HU73" s="17"/>
      <c r="HV73" s="17"/>
      <c r="HW73" s="17"/>
      <c r="HX73" s="17"/>
      <c r="HY73" s="17"/>
      <c r="HZ73" s="17"/>
      <c r="IA73" s="17"/>
      <c r="IB73" s="17"/>
      <c r="IC73" s="17"/>
      <c r="ID73" s="17"/>
      <c r="IE73" s="17"/>
      <c r="IF73" s="17"/>
      <c r="IG73" s="17"/>
      <c r="IH73" s="17"/>
      <c r="II73" s="17"/>
      <c r="IJ73" s="17"/>
      <c r="IK73" s="17"/>
      <c r="IL73" s="17"/>
      <c r="IM73" s="17"/>
      <c r="IN73" s="17"/>
      <c r="IO73" s="17"/>
      <c r="IP73" s="17"/>
      <c r="IQ73" s="17"/>
      <c r="IR73" s="17"/>
      <c r="IS73" s="17"/>
      <c r="IT73" s="17"/>
      <c r="IU73" s="17"/>
      <c r="IV73" s="17"/>
    </row>
    <row r="74" spans="1:256" x14ac:dyDescent="0.25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  <c r="AY74" s="17"/>
      <c r="AZ74" s="17"/>
      <c r="BA74" s="17"/>
      <c r="BB74" s="17"/>
      <c r="BC74" s="17"/>
      <c r="BD74" s="17"/>
      <c r="BE74" s="17"/>
      <c r="BF74" s="17"/>
      <c r="BG74" s="17"/>
      <c r="BH74" s="17"/>
      <c r="BI74" s="17"/>
      <c r="BJ74" s="17"/>
      <c r="BK74" s="17"/>
      <c r="BL74" s="17"/>
      <c r="BM74" s="17"/>
      <c r="BN74" s="17"/>
      <c r="BO74" s="17"/>
      <c r="BP74" s="17"/>
      <c r="BQ74" s="17"/>
      <c r="BR74" s="17"/>
      <c r="BS74" s="17"/>
      <c r="BT74" s="17"/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7"/>
      <c r="DD74" s="17"/>
      <c r="DE74" s="17"/>
      <c r="DF74" s="17"/>
      <c r="DG74" s="17"/>
      <c r="DH74" s="17"/>
      <c r="DI74" s="17"/>
      <c r="DJ74" s="17"/>
      <c r="DK74" s="17"/>
      <c r="DL74" s="17"/>
      <c r="DM74" s="17"/>
      <c r="DN74" s="17"/>
      <c r="DO74" s="17"/>
      <c r="DP74" s="17"/>
      <c r="DQ74" s="17"/>
      <c r="DR74" s="17"/>
      <c r="DS74" s="17"/>
      <c r="DT74" s="17"/>
      <c r="DU74" s="17"/>
      <c r="DV74" s="17"/>
      <c r="DW74" s="17"/>
      <c r="DX74" s="17"/>
      <c r="DY74" s="17"/>
      <c r="DZ74" s="17"/>
      <c r="EA74" s="17"/>
      <c r="EB74" s="17"/>
      <c r="EC74" s="17"/>
      <c r="ED74" s="17"/>
      <c r="EE74" s="17"/>
      <c r="EF74" s="17"/>
      <c r="EG74" s="17"/>
      <c r="EH74" s="17"/>
      <c r="EI74" s="17"/>
      <c r="EJ74" s="17"/>
      <c r="EK74" s="17"/>
      <c r="EL74" s="17"/>
      <c r="EM74" s="17"/>
      <c r="EN74" s="17"/>
      <c r="EO74" s="17"/>
      <c r="EP74" s="17"/>
      <c r="EQ74" s="17"/>
      <c r="ER74" s="17"/>
      <c r="ES74" s="17"/>
      <c r="ET74" s="17"/>
      <c r="EU74" s="17"/>
      <c r="EV74" s="17"/>
      <c r="EW74" s="17"/>
      <c r="EX74" s="17"/>
      <c r="EY74" s="17"/>
      <c r="EZ74" s="17"/>
      <c r="FA74" s="17"/>
      <c r="FB74" s="17"/>
      <c r="FC74" s="17"/>
      <c r="FD74" s="17"/>
      <c r="FE74" s="17"/>
      <c r="FF74" s="17"/>
      <c r="FG74" s="17"/>
      <c r="FH74" s="17"/>
      <c r="FI74" s="17"/>
      <c r="FJ74" s="17"/>
      <c r="FK74" s="17"/>
      <c r="FL74" s="17"/>
      <c r="FM74" s="17"/>
      <c r="FN74" s="17"/>
      <c r="FO74" s="17"/>
      <c r="FP74" s="17"/>
      <c r="FQ74" s="17"/>
      <c r="FR74" s="17"/>
      <c r="FS74" s="17"/>
      <c r="FT74" s="17"/>
      <c r="FU74" s="17"/>
      <c r="FV74" s="17"/>
      <c r="FW74" s="17"/>
      <c r="FX74" s="17"/>
      <c r="FY74" s="17"/>
      <c r="FZ74" s="17"/>
      <c r="GA74" s="17"/>
      <c r="GB74" s="17"/>
      <c r="GC74" s="17"/>
      <c r="GD74" s="17"/>
      <c r="GE74" s="17"/>
      <c r="GF74" s="17"/>
      <c r="GG74" s="17"/>
      <c r="GH74" s="17"/>
      <c r="GI74" s="17"/>
      <c r="GJ74" s="17"/>
      <c r="GK74" s="17"/>
      <c r="GL74" s="17"/>
      <c r="GM74" s="17"/>
      <c r="GN74" s="17"/>
      <c r="GO74" s="17"/>
      <c r="GP74" s="17"/>
      <c r="GQ74" s="17"/>
      <c r="GR74" s="17"/>
      <c r="GS74" s="17"/>
      <c r="GT74" s="17"/>
      <c r="GU74" s="17"/>
      <c r="GV74" s="17"/>
      <c r="GW74" s="17"/>
      <c r="GX74" s="17"/>
      <c r="GY74" s="17"/>
      <c r="GZ74" s="17"/>
      <c r="HA74" s="17"/>
      <c r="HB74" s="17"/>
      <c r="HC74" s="17"/>
      <c r="HD74" s="17"/>
      <c r="HE74" s="17"/>
      <c r="HF74" s="17"/>
      <c r="HG74" s="17"/>
      <c r="HH74" s="17"/>
      <c r="HI74" s="17"/>
      <c r="HJ74" s="17"/>
      <c r="HK74" s="17"/>
      <c r="HL74" s="17"/>
      <c r="HM74" s="17"/>
      <c r="HN74" s="17"/>
      <c r="HO74" s="17"/>
      <c r="HP74" s="17"/>
      <c r="HQ74" s="17"/>
      <c r="HR74" s="17"/>
      <c r="HS74" s="17"/>
      <c r="HT74" s="17"/>
      <c r="HU74" s="17"/>
      <c r="HV74" s="17"/>
      <c r="HW74" s="17"/>
      <c r="HX74" s="17"/>
      <c r="HY74" s="17"/>
      <c r="HZ74" s="17"/>
      <c r="IA74" s="17"/>
      <c r="IB74" s="17"/>
      <c r="IC74" s="17"/>
      <c r="ID74" s="17"/>
      <c r="IE74" s="17"/>
      <c r="IF74" s="17"/>
      <c r="IG74" s="17"/>
      <c r="IH74" s="17"/>
      <c r="II74" s="17"/>
      <c r="IJ74" s="17"/>
      <c r="IK74" s="17"/>
      <c r="IL74" s="17"/>
      <c r="IM74" s="17"/>
      <c r="IN74" s="17"/>
      <c r="IO74" s="17"/>
      <c r="IP74" s="17"/>
      <c r="IQ74" s="17"/>
      <c r="IR74" s="17"/>
      <c r="IS74" s="17"/>
      <c r="IT74" s="17"/>
      <c r="IU74" s="17"/>
      <c r="IV74" s="17"/>
    </row>
    <row r="75" spans="1:256" x14ac:dyDescent="0.25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  <c r="AY75" s="17"/>
      <c r="AZ75" s="17"/>
      <c r="BA75" s="17"/>
      <c r="BB75" s="17"/>
      <c r="BC75" s="17"/>
      <c r="BD75" s="17"/>
      <c r="BE75" s="17"/>
      <c r="BF75" s="17"/>
      <c r="BG75" s="17"/>
      <c r="BH75" s="17"/>
      <c r="BI75" s="17"/>
      <c r="BJ75" s="17"/>
      <c r="BK75" s="17"/>
      <c r="BL75" s="17"/>
      <c r="BM75" s="17"/>
      <c r="BN75" s="17"/>
      <c r="BO75" s="17"/>
      <c r="BP75" s="17"/>
      <c r="BQ75" s="17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17"/>
      <c r="DF75" s="17"/>
      <c r="DG75" s="17"/>
      <c r="DH75" s="17"/>
      <c r="DI75" s="17"/>
      <c r="DJ75" s="17"/>
      <c r="DK75" s="17"/>
      <c r="DL75" s="17"/>
      <c r="DM75" s="17"/>
      <c r="DN75" s="17"/>
      <c r="DO75" s="17"/>
      <c r="DP75" s="17"/>
      <c r="DQ75" s="17"/>
      <c r="DR75" s="17"/>
      <c r="DS75" s="17"/>
      <c r="DT75" s="17"/>
      <c r="DU75" s="17"/>
      <c r="DV75" s="17"/>
      <c r="DW75" s="17"/>
      <c r="DX75" s="17"/>
      <c r="DY75" s="17"/>
      <c r="DZ75" s="17"/>
      <c r="EA75" s="17"/>
      <c r="EB75" s="17"/>
      <c r="EC75" s="17"/>
      <c r="ED75" s="17"/>
      <c r="EE75" s="17"/>
      <c r="EF75" s="17"/>
      <c r="EG75" s="17"/>
      <c r="EH75" s="17"/>
      <c r="EI75" s="17"/>
      <c r="EJ75" s="17"/>
      <c r="EK75" s="17"/>
      <c r="EL75" s="17"/>
      <c r="EM75" s="17"/>
      <c r="EN75" s="17"/>
      <c r="EO75" s="17"/>
      <c r="EP75" s="17"/>
      <c r="EQ75" s="17"/>
      <c r="ER75" s="17"/>
      <c r="ES75" s="17"/>
      <c r="ET75" s="17"/>
      <c r="EU75" s="17"/>
      <c r="EV75" s="17"/>
      <c r="EW75" s="17"/>
      <c r="EX75" s="17"/>
      <c r="EY75" s="17"/>
      <c r="EZ75" s="17"/>
      <c r="FA75" s="17"/>
      <c r="FB75" s="17"/>
      <c r="FC75" s="17"/>
      <c r="FD75" s="17"/>
      <c r="FE75" s="17"/>
      <c r="FF75" s="17"/>
      <c r="FG75" s="17"/>
      <c r="FH75" s="17"/>
      <c r="FI75" s="17"/>
      <c r="FJ75" s="17"/>
      <c r="FK75" s="17"/>
      <c r="FL75" s="17"/>
      <c r="FM75" s="17"/>
      <c r="FN75" s="17"/>
      <c r="FO75" s="17"/>
      <c r="FP75" s="17"/>
      <c r="FQ75" s="17"/>
      <c r="FR75" s="17"/>
      <c r="FS75" s="17"/>
      <c r="FT75" s="17"/>
      <c r="FU75" s="17"/>
      <c r="FV75" s="17"/>
      <c r="FW75" s="17"/>
      <c r="FX75" s="17"/>
      <c r="FY75" s="17"/>
      <c r="FZ75" s="17"/>
      <c r="GA75" s="17"/>
      <c r="GB75" s="17"/>
      <c r="GC75" s="17"/>
      <c r="GD75" s="17"/>
      <c r="GE75" s="17"/>
      <c r="GF75" s="17"/>
      <c r="GG75" s="17"/>
      <c r="GH75" s="17"/>
      <c r="GI75" s="17"/>
      <c r="GJ75" s="17"/>
      <c r="GK75" s="17"/>
      <c r="GL75" s="17"/>
      <c r="GM75" s="17"/>
      <c r="GN75" s="17"/>
      <c r="GO75" s="17"/>
      <c r="GP75" s="17"/>
      <c r="GQ75" s="17"/>
      <c r="GR75" s="17"/>
      <c r="GS75" s="17"/>
      <c r="GT75" s="17"/>
      <c r="GU75" s="17"/>
      <c r="GV75" s="17"/>
      <c r="GW75" s="17"/>
      <c r="GX75" s="17"/>
      <c r="GY75" s="17"/>
      <c r="GZ75" s="17"/>
      <c r="HA75" s="17"/>
      <c r="HB75" s="17"/>
      <c r="HC75" s="17"/>
      <c r="HD75" s="17"/>
      <c r="HE75" s="17"/>
      <c r="HF75" s="17"/>
      <c r="HG75" s="17"/>
      <c r="HH75" s="17"/>
      <c r="HI75" s="17"/>
      <c r="HJ75" s="17"/>
      <c r="HK75" s="17"/>
      <c r="HL75" s="17"/>
      <c r="HM75" s="17"/>
      <c r="HN75" s="17"/>
      <c r="HO75" s="17"/>
      <c r="HP75" s="17"/>
      <c r="HQ75" s="17"/>
      <c r="HR75" s="17"/>
      <c r="HS75" s="17"/>
      <c r="HT75" s="17"/>
      <c r="HU75" s="17"/>
      <c r="HV75" s="17"/>
      <c r="HW75" s="17"/>
      <c r="HX75" s="17"/>
      <c r="HY75" s="17"/>
      <c r="HZ75" s="17"/>
      <c r="IA75" s="17"/>
      <c r="IB75" s="17"/>
      <c r="IC75" s="17"/>
      <c r="ID75" s="17"/>
      <c r="IE75" s="17"/>
      <c r="IF75" s="17"/>
      <c r="IG75" s="17"/>
      <c r="IH75" s="17"/>
      <c r="II75" s="17"/>
      <c r="IJ75" s="17"/>
      <c r="IK75" s="17"/>
      <c r="IL75" s="17"/>
      <c r="IM75" s="17"/>
      <c r="IN75" s="17"/>
      <c r="IO75" s="17"/>
      <c r="IP75" s="17"/>
      <c r="IQ75" s="17"/>
      <c r="IR75" s="17"/>
      <c r="IS75" s="17"/>
      <c r="IT75" s="17"/>
      <c r="IU75" s="17"/>
      <c r="IV75" s="17"/>
    </row>
    <row r="76" spans="1:256" x14ac:dyDescent="0.25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  <c r="AY76" s="17"/>
      <c r="AZ76" s="17"/>
      <c r="BA76" s="17"/>
      <c r="BB76" s="17"/>
      <c r="BC76" s="17"/>
      <c r="BD76" s="17"/>
      <c r="BE76" s="17"/>
      <c r="BF76" s="17"/>
      <c r="BG76" s="17"/>
      <c r="BH76" s="17"/>
      <c r="BI76" s="17"/>
      <c r="BJ76" s="17"/>
      <c r="BK76" s="17"/>
      <c r="BL76" s="17"/>
      <c r="BM76" s="17"/>
      <c r="BN76" s="17"/>
      <c r="BO76" s="17"/>
      <c r="BP76" s="17"/>
      <c r="BQ76" s="17"/>
      <c r="BR76" s="17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7"/>
      <c r="DD76" s="17"/>
      <c r="DE76" s="17"/>
      <c r="DF76" s="17"/>
      <c r="DG76" s="17"/>
      <c r="DH76" s="17"/>
      <c r="DI76" s="17"/>
      <c r="DJ76" s="17"/>
      <c r="DK76" s="17"/>
      <c r="DL76" s="17"/>
      <c r="DM76" s="17"/>
      <c r="DN76" s="17"/>
      <c r="DO76" s="17"/>
      <c r="DP76" s="17"/>
      <c r="DQ76" s="17"/>
      <c r="DR76" s="17"/>
      <c r="DS76" s="17"/>
      <c r="DT76" s="17"/>
      <c r="DU76" s="17"/>
      <c r="DV76" s="17"/>
      <c r="DW76" s="17"/>
      <c r="DX76" s="17"/>
      <c r="DY76" s="17"/>
      <c r="DZ76" s="17"/>
      <c r="EA76" s="17"/>
      <c r="EB76" s="17"/>
      <c r="EC76" s="17"/>
      <c r="ED76" s="17"/>
      <c r="EE76" s="17"/>
      <c r="EF76" s="17"/>
      <c r="EG76" s="17"/>
      <c r="EH76" s="17"/>
      <c r="EI76" s="17"/>
      <c r="EJ76" s="17"/>
      <c r="EK76" s="17"/>
      <c r="EL76" s="17"/>
      <c r="EM76" s="17"/>
      <c r="EN76" s="17"/>
      <c r="EO76" s="17"/>
      <c r="EP76" s="17"/>
      <c r="EQ76" s="17"/>
      <c r="ER76" s="17"/>
      <c r="ES76" s="17"/>
      <c r="ET76" s="17"/>
      <c r="EU76" s="17"/>
      <c r="EV76" s="17"/>
      <c r="EW76" s="17"/>
      <c r="EX76" s="17"/>
      <c r="EY76" s="17"/>
      <c r="EZ76" s="17"/>
      <c r="FA76" s="17"/>
      <c r="FB76" s="17"/>
      <c r="FC76" s="17"/>
      <c r="FD76" s="17"/>
      <c r="FE76" s="17"/>
      <c r="FF76" s="17"/>
      <c r="FG76" s="17"/>
      <c r="FH76" s="17"/>
      <c r="FI76" s="17"/>
      <c r="FJ76" s="17"/>
      <c r="FK76" s="17"/>
      <c r="FL76" s="17"/>
      <c r="FM76" s="17"/>
      <c r="FN76" s="17"/>
      <c r="FO76" s="17"/>
      <c r="FP76" s="17"/>
      <c r="FQ76" s="17"/>
      <c r="FR76" s="17"/>
      <c r="FS76" s="17"/>
      <c r="FT76" s="17"/>
      <c r="FU76" s="17"/>
      <c r="FV76" s="17"/>
      <c r="FW76" s="17"/>
      <c r="FX76" s="17"/>
      <c r="FY76" s="17"/>
      <c r="FZ76" s="17"/>
      <c r="GA76" s="17"/>
      <c r="GB76" s="17"/>
      <c r="GC76" s="17"/>
      <c r="GD76" s="17"/>
      <c r="GE76" s="17"/>
      <c r="GF76" s="17"/>
      <c r="GG76" s="17"/>
      <c r="GH76" s="17"/>
      <c r="GI76" s="17"/>
      <c r="GJ76" s="17"/>
      <c r="GK76" s="17"/>
      <c r="GL76" s="17"/>
      <c r="GM76" s="17"/>
      <c r="GN76" s="17"/>
      <c r="GO76" s="17"/>
      <c r="GP76" s="17"/>
      <c r="GQ76" s="17"/>
      <c r="GR76" s="17"/>
      <c r="GS76" s="17"/>
      <c r="GT76" s="17"/>
      <c r="GU76" s="17"/>
      <c r="GV76" s="17"/>
      <c r="GW76" s="17"/>
      <c r="GX76" s="17"/>
      <c r="GY76" s="17"/>
      <c r="GZ76" s="17"/>
      <c r="HA76" s="17"/>
      <c r="HB76" s="17"/>
      <c r="HC76" s="17"/>
      <c r="HD76" s="17"/>
      <c r="HE76" s="17"/>
      <c r="HF76" s="17"/>
      <c r="HG76" s="17"/>
      <c r="HH76" s="17"/>
      <c r="HI76" s="17"/>
      <c r="HJ76" s="17"/>
      <c r="HK76" s="17"/>
      <c r="HL76" s="17"/>
      <c r="HM76" s="17"/>
      <c r="HN76" s="17"/>
      <c r="HO76" s="17"/>
      <c r="HP76" s="17"/>
      <c r="HQ76" s="17"/>
      <c r="HR76" s="17"/>
      <c r="HS76" s="17"/>
      <c r="HT76" s="17"/>
      <c r="HU76" s="17"/>
      <c r="HV76" s="17"/>
      <c r="HW76" s="17"/>
      <c r="HX76" s="17"/>
      <c r="HY76" s="17"/>
      <c r="HZ76" s="17"/>
      <c r="IA76" s="17"/>
      <c r="IB76" s="17"/>
      <c r="IC76" s="17"/>
      <c r="ID76" s="17"/>
      <c r="IE76" s="17"/>
      <c r="IF76" s="17"/>
      <c r="IG76" s="17"/>
      <c r="IH76" s="17"/>
      <c r="II76" s="17"/>
      <c r="IJ76" s="17"/>
      <c r="IK76" s="17"/>
      <c r="IL76" s="17"/>
      <c r="IM76" s="17"/>
      <c r="IN76" s="17"/>
      <c r="IO76" s="17"/>
      <c r="IP76" s="17"/>
      <c r="IQ76" s="17"/>
      <c r="IR76" s="17"/>
      <c r="IS76" s="17"/>
      <c r="IT76" s="17"/>
      <c r="IU76" s="17"/>
      <c r="IV76" s="17"/>
    </row>
    <row r="77" spans="1:256" x14ac:dyDescent="0.25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91" t="s">
        <v>87</v>
      </c>
      <c r="AT77" s="17"/>
      <c r="AU77" s="17"/>
      <c r="AV77" s="17"/>
      <c r="AW77" s="17"/>
      <c r="AX77" s="17"/>
      <c r="AY77" s="17"/>
      <c r="AZ77" s="17"/>
      <c r="BA77" s="17"/>
      <c r="BB77" s="17"/>
      <c r="BC77" s="17"/>
      <c r="BD77" s="17"/>
      <c r="BE77" s="17"/>
      <c r="BF77" s="17"/>
      <c r="BG77" s="17"/>
      <c r="BH77" s="17"/>
      <c r="BI77" s="17"/>
      <c r="BJ77" s="17"/>
      <c r="BK77" s="17"/>
      <c r="BL77" s="17"/>
      <c r="BM77" s="17"/>
      <c r="BN77" s="17"/>
      <c r="BO77" s="17"/>
      <c r="BP77" s="17"/>
      <c r="BQ77" s="17"/>
      <c r="BR77" s="17"/>
      <c r="BS77" s="17"/>
      <c r="BT77" s="17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7"/>
      <c r="DD77" s="17"/>
      <c r="DE77" s="17"/>
      <c r="DF77" s="17"/>
      <c r="DG77" s="17"/>
      <c r="DH77" s="17"/>
      <c r="DI77" s="17"/>
      <c r="DJ77" s="17"/>
      <c r="DK77" s="17"/>
      <c r="DL77" s="17"/>
      <c r="DM77" s="17"/>
      <c r="DN77" s="17"/>
      <c r="DO77" s="17"/>
      <c r="DP77" s="17"/>
      <c r="DQ77" s="17"/>
      <c r="DR77" s="17"/>
      <c r="DS77" s="17"/>
      <c r="DT77" s="17"/>
      <c r="DU77" s="17"/>
      <c r="DV77" s="17"/>
      <c r="DW77" s="17"/>
      <c r="DX77" s="17"/>
      <c r="DY77" s="17"/>
      <c r="DZ77" s="17"/>
      <c r="EA77" s="17"/>
      <c r="EB77" s="17"/>
      <c r="EC77" s="17"/>
      <c r="ED77" s="17"/>
      <c r="EE77" s="17"/>
      <c r="EF77" s="17"/>
      <c r="EG77" s="17"/>
      <c r="EH77" s="17"/>
      <c r="EI77" s="17"/>
      <c r="EJ77" s="17"/>
      <c r="EK77" s="17"/>
      <c r="EL77" s="17"/>
      <c r="EM77" s="17"/>
      <c r="EN77" s="17"/>
      <c r="EO77" s="17"/>
      <c r="EP77" s="17"/>
      <c r="EQ77" s="17"/>
      <c r="ER77" s="17"/>
      <c r="ES77" s="17"/>
      <c r="ET77" s="17"/>
      <c r="EU77" s="17"/>
      <c r="EV77" s="17"/>
      <c r="EW77" s="17"/>
      <c r="EX77" s="17"/>
      <c r="EY77" s="17"/>
      <c r="EZ77" s="17"/>
      <c r="FA77" s="17"/>
      <c r="FB77" s="17"/>
      <c r="FC77" s="17"/>
      <c r="FD77" s="17"/>
      <c r="FE77" s="17"/>
      <c r="FF77" s="17"/>
      <c r="FG77" s="17"/>
      <c r="FH77" s="17"/>
      <c r="FI77" s="17"/>
      <c r="FJ77" s="17"/>
      <c r="FK77" s="17"/>
      <c r="FL77" s="17"/>
      <c r="FM77" s="17"/>
      <c r="FN77" s="17"/>
      <c r="FO77" s="17"/>
      <c r="FP77" s="17"/>
      <c r="FQ77" s="17"/>
      <c r="FR77" s="17"/>
      <c r="FS77" s="17"/>
      <c r="FT77" s="17"/>
      <c r="FU77" s="17"/>
      <c r="FV77" s="17"/>
      <c r="FW77" s="17"/>
      <c r="FX77" s="17"/>
      <c r="FY77" s="17"/>
      <c r="FZ77" s="17"/>
      <c r="GA77" s="17"/>
      <c r="GB77" s="17"/>
      <c r="GC77" s="17"/>
      <c r="GD77" s="17"/>
      <c r="GE77" s="17"/>
      <c r="GF77" s="17"/>
      <c r="GG77" s="17"/>
      <c r="GH77" s="17"/>
      <c r="GI77" s="17"/>
      <c r="GJ77" s="17"/>
      <c r="GK77" s="17"/>
      <c r="GL77" s="17"/>
      <c r="GM77" s="17"/>
      <c r="GN77" s="17"/>
      <c r="GO77" s="17"/>
      <c r="GP77" s="17"/>
      <c r="GQ77" s="17"/>
      <c r="GR77" s="17"/>
      <c r="GS77" s="17"/>
      <c r="GT77" s="17"/>
      <c r="GU77" s="17"/>
      <c r="GV77" s="17"/>
      <c r="GW77" s="17"/>
      <c r="GX77" s="17"/>
      <c r="GY77" s="17"/>
      <c r="GZ77" s="17"/>
      <c r="HA77" s="17"/>
      <c r="HB77" s="17"/>
      <c r="HC77" s="17"/>
      <c r="HD77" s="17"/>
      <c r="HE77" s="17"/>
      <c r="HF77" s="17"/>
      <c r="HG77" s="17"/>
      <c r="HH77" s="17"/>
      <c r="HI77" s="17"/>
      <c r="HJ77" s="17"/>
      <c r="HK77" s="17"/>
      <c r="HL77" s="17"/>
      <c r="HM77" s="17"/>
      <c r="HN77" s="17"/>
      <c r="HO77" s="17"/>
      <c r="HP77" s="17"/>
      <c r="HQ77" s="17"/>
      <c r="HR77" s="17"/>
      <c r="HS77" s="17"/>
      <c r="HT77" s="17"/>
      <c r="HU77" s="17"/>
      <c r="HV77" s="17"/>
      <c r="HW77" s="17"/>
      <c r="HX77" s="17"/>
      <c r="HY77" s="17"/>
      <c r="HZ77" s="17"/>
      <c r="IA77" s="17"/>
      <c r="IB77" s="17"/>
      <c r="IC77" s="17"/>
      <c r="ID77" s="17"/>
      <c r="IE77" s="17"/>
      <c r="IF77" s="17"/>
      <c r="IG77" s="17"/>
      <c r="IH77" s="17"/>
      <c r="II77" s="17"/>
      <c r="IJ77" s="17"/>
      <c r="IK77" s="17"/>
      <c r="IL77" s="17"/>
      <c r="IM77" s="17"/>
      <c r="IN77" s="17"/>
      <c r="IO77" s="17"/>
      <c r="IP77" s="17"/>
      <c r="IQ77" s="17"/>
      <c r="IR77" s="17"/>
      <c r="IS77" s="17"/>
      <c r="IT77" s="17"/>
      <c r="IU77" s="17"/>
      <c r="IV77" s="17"/>
    </row>
    <row r="78" spans="1:256" x14ac:dyDescent="0.25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91"/>
      <c r="AT78" s="17"/>
      <c r="AU78" s="17"/>
      <c r="AV78" s="17"/>
      <c r="AW78" s="17"/>
      <c r="AX78" s="17"/>
      <c r="AY78" s="17"/>
      <c r="AZ78" s="17"/>
      <c r="BA78" s="17"/>
      <c r="BB78" s="17"/>
      <c r="BC78" s="17"/>
      <c r="BD78" s="17"/>
      <c r="BE78" s="17"/>
      <c r="BF78" s="17"/>
      <c r="BG78" s="17"/>
      <c r="BH78" s="17"/>
      <c r="BI78" s="17"/>
      <c r="BJ78" s="17"/>
      <c r="BK78" s="17"/>
      <c r="BL78" s="17"/>
      <c r="BM78" s="17"/>
      <c r="BN78" s="17"/>
      <c r="BO78" s="17"/>
      <c r="BP78" s="17"/>
      <c r="BQ78" s="17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7"/>
      <c r="DD78" s="17"/>
      <c r="DE78" s="17"/>
      <c r="DF78" s="17"/>
      <c r="DG78" s="17"/>
      <c r="DH78" s="17"/>
      <c r="DI78" s="17"/>
      <c r="DJ78" s="17"/>
      <c r="DK78" s="17"/>
      <c r="DL78" s="17"/>
      <c r="DM78" s="17"/>
      <c r="DN78" s="17"/>
      <c r="DO78" s="17"/>
      <c r="DP78" s="17"/>
      <c r="DQ78" s="17"/>
      <c r="DR78" s="17"/>
      <c r="DS78" s="17"/>
      <c r="DT78" s="17"/>
      <c r="DU78" s="17"/>
      <c r="DV78" s="17"/>
      <c r="DW78" s="17"/>
      <c r="DX78" s="17"/>
      <c r="DY78" s="17"/>
      <c r="DZ78" s="17"/>
      <c r="EA78" s="17"/>
      <c r="EB78" s="17"/>
      <c r="EC78" s="17"/>
      <c r="ED78" s="17"/>
      <c r="EE78" s="17"/>
      <c r="EF78" s="17"/>
      <c r="EG78" s="17"/>
      <c r="EH78" s="17"/>
      <c r="EI78" s="17"/>
      <c r="EJ78" s="17"/>
      <c r="EK78" s="17"/>
      <c r="EL78" s="17"/>
      <c r="EM78" s="17"/>
      <c r="EN78" s="17"/>
      <c r="EO78" s="17"/>
      <c r="EP78" s="17"/>
      <c r="EQ78" s="17"/>
      <c r="ER78" s="17"/>
      <c r="ES78" s="17"/>
      <c r="ET78" s="17"/>
      <c r="EU78" s="17"/>
      <c r="EV78" s="17"/>
      <c r="EW78" s="17"/>
      <c r="EX78" s="17"/>
      <c r="EY78" s="17"/>
      <c r="EZ78" s="17"/>
      <c r="FA78" s="17"/>
      <c r="FB78" s="17"/>
      <c r="FC78" s="17"/>
      <c r="FD78" s="17"/>
      <c r="FE78" s="17"/>
      <c r="FF78" s="17"/>
      <c r="FG78" s="17"/>
      <c r="FH78" s="17"/>
      <c r="FI78" s="17"/>
      <c r="FJ78" s="17"/>
      <c r="FK78" s="17"/>
      <c r="FL78" s="17"/>
      <c r="FM78" s="17"/>
      <c r="FN78" s="17"/>
      <c r="FO78" s="17"/>
      <c r="FP78" s="17"/>
      <c r="FQ78" s="17"/>
      <c r="FR78" s="17"/>
      <c r="FS78" s="17"/>
      <c r="FT78" s="17"/>
      <c r="FU78" s="17"/>
      <c r="FV78" s="17"/>
      <c r="FW78" s="17"/>
      <c r="FX78" s="17"/>
      <c r="FY78" s="17"/>
      <c r="FZ78" s="17"/>
      <c r="GA78" s="17"/>
      <c r="GB78" s="17"/>
      <c r="GC78" s="17"/>
      <c r="GD78" s="17"/>
      <c r="GE78" s="17"/>
      <c r="GF78" s="17"/>
      <c r="GG78" s="17"/>
      <c r="GH78" s="17"/>
      <c r="GI78" s="17"/>
      <c r="GJ78" s="17"/>
      <c r="GK78" s="17"/>
      <c r="GL78" s="17"/>
      <c r="GM78" s="17"/>
      <c r="GN78" s="17"/>
      <c r="GO78" s="17"/>
      <c r="GP78" s="17"/>
      <c r="GQ78" s="17"/>
      <c r="GR78" s="17"/>
      <c r="GS78" s="17"/>
      <c r="GT78" s="17"/>
      <c r="GU78" s="17"/>
      <c r="GV78" s="17"/>
      <c r="GW78" s="17"/>
      <c r="GX78" s="17"/>
      <c r="GY78" s="17"/>
      <c r="GZ78" s="17"/>
      <c r="HA78" s="17"/>
      <c r="HB78" s="17"/>
      <c r="HC78" s="17"/>
      <c r="HD78" s="17"/>
      <c r="HE78" s="17"/>
      <c r="HF78" s="17"/>
      <c r="HG78" s="17"/>
      <c r="HH78" s="17"/>
      <c r="HI78" s="17"/>
      <c r="HJ78" s="17"/>
      <c r="HK78" s="17"/>
      <c r="HL78" s="17"/>
      <c r="HM78" s="17"/>
      <c r="HN78" s="17"/>
      <c r="HO78" s="17"/>
      <c r="HP78" s="17"/>
      <c r="HQ78" s="17"/>
      <c r="HR78" s="17"/>
      <c r="HS78" s="17"/>
      <c r="HT78" s="17"/>
      <c r="HU78" s="17"/>
      <c r="HV78" s="17"/>
      <c r="HW78" s="17"/>
      <c r="HX78" s="17"/>
      <c r="HY78" s="17"/>
      <c r="HZ78" s="17"/>
      <c r="IA78" s="17"/>
      <c r="IB78" s="17"/>
      <c r="IC78" s="17"/>
      <c r="ID78" s="17"/>
      <c r="IE78" s="17"/>
      <c r="IF78" s="17"/>
      <c r="IG78" s="17"/>
      <c r="IH78" s="17"/>
      <c r="II78" s="17"/>
      <c r="IJ78" s="17"/>
      <c r="IK78" s="17"/>
      <c r="IL78" s="17"/>
      <c r="IM78" s="17"/>
      <c r="IN78" s="17"/>
      <c r="IO78" s="17"/>
      <c r="IP78" s="17"/>
      <c r="IQ78" s="17"/>
      <c r="IR78" s="17"/>
      <c r="IS78" s="17"/>
      <c r="IT78" s="17"/>
      <c r="IU78" s="17"/>
      <c r="IV78" s="17"/>
    </row>
    <row r="79" spans="1:256" x14ac:dyDescent="0.25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21" t="s">
        <v>88</v>
      </c>
      <c r="AT79" s="17"/>
      <c r="AU79" s="17"/>
      <c r="AV79" s="17"/>
      <c r="AW79" s="17"/>
      <c r="AX79" s="17"/>
      <c r="AY79" s="17"/>
      <c r="AZ79" s="17"/>
      <c r="BA79" s="17"/>
      <c r="BB79" s="17"/>
      <c r="BC79" s="17"/>
      <c r="BD79" s="17"/>
      <c r="BE79" s="17"/>
      <c r="BF79" s="17"/>
      <c r="BG79" s="17"/>
      <c r="BH79" s="17"/>
      <c r="BI79" s="17"/>
      <c r="BJ79" s="17"/>
      <c r="BK79" s="17"/>
      <c r="BL79" s="17"/>
      <c r="BM79" s="17"/>
      <c r="BN79" s="17"/>
      <c r="BO79" s="17"/>
      <c r="BP79" s="17"/>
      <c r="BQ79" s="17"/>
      <c r="BR79" s="17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7"/>
      <c r="DF79" s="17"/>
      <c r="DG79" s="17"/>
      <c r="DH79" s="17"/>
      <c r="DI79" s="17"/>
      <c r="DJ79" s="17"/>
      <c r="DK79" s="17"/>
      <c r="DL79" s="17"/>
      <c r="DM79" s="17"/>
      <c r="DN79" s="17"/>
      <c r="DO79" s="17"/>
      <c r="DP79" s="17"/>
      <c r="DQ79" s="17"/>
      <c r="DR79" s="17"/>
      <c r="DS79" s="17"/>
      <c r="DT79" s="17"/>
      <c r="DU79" s="17"/>
      <c r="DV79" s="17"/>
      <c r="DW79" s="17"/>
      <c r="DX79" s="17"/>
      <c r="DY79" s="17"/>
      <c r="DZ79" s="17"/>
      <c r="EA79" s="17"/>
      <c r="EB79" s="17"/>
      <c r="EC79" s="17"/>
      <c r="ED79" s="17"/>
      <c r="EE79" s="17"/>
      <c r="EF79" s="17"/>
      <c r="EG79" s="17"/>
      <c r="EH79" s="17"/>
      <c r="EI79" s="17"/>
      <c r="EJ79" s="17"/>
      <c r="EK79" s="17"/>
      <c r="EL79" s="17"/>
      <c r="EM79" s="17"/>
      <c r="EN79" s="17"/>
      <c r="EO79" s="17"/>
      <c r="EP79" s="17"/>
      <c r="EQ79" s="17"/>
      <c r="ER79" s="17"/>
      <c r="ES79" s="17"/>
      <c r="ET79" s="17"/>
      <c r="EU79" s="17"/>
      <c r="EV79" s="17"/>
      <c r="EW79" s="17"/>
      <c r="EX79" s="17"/>
      <c r="EY79" s="17"/>
      <c r="EZ79" s="17"/>
      <c r="FA79" s="17"/>
      <c r="FB79" s="17"/>
      <c r="FC79" s="17"/>
      <c r="FD79" s="17"/>
      <c r="FE79" s="17"/>
      <c r="FF79" s="17"/>
      <c r="FG79" s="17"/>
      <c r="FH79" s="17"/>
      <c r="FI79" s="17"/>
      <c r="FJ79" s="17"/>
      <c r="FK79" s="17"/>
      <c r="FL79" s="17"/>
      <c r="FM79" s="17"/>
      <c r="FN79" s="17"/>
      <c r="FO79" s="17"/>
      <c r="FP79" s="17"/>
      <c r="FQ79" s="17"/>
      <c r="FR79" s="17"/>
      <c r="FS79" s="17"/>
      <c r="FT79" s="17"/>
      <c r="FU79" s="17"/>
      <c r="FV79" s="17"/>
      <c r="FW79" s="17"/>
      <c r="FX79" s="17"/>
      <c r="FY79" s="17"/>
      <c r="FZ79" s="17"/>
      <c r="GA79" s="17"/>
      <c r="GB79" s="17"/>
      <c r="GC79" s="17"/>
      <c r="GD79" s="17"/>
      <c r="GE79" s="17"/>
      <c r="GF79" s="17"/>
      <c r="GG79" s="17"/>
      <c r="GH79" s="17"/>
      <c r="GI79" s="17"/>
      <c r="GJ79" s="17"/>
      <c r="GK79" s="17"/>
      <c r="GL79" s="17"/>
      <c r="GM79" s="17"/>
      <c r="GN79" s="17"/>
      <c r="GO79" s="17"/>
      <c r="GP79" s="17"/>
      <c r="GQ79" s="17"/>
      <c r="GR79" s="17"/>
      <c r="GS79" s="17"/>
      <c r="GT79" s="17"/>
      <c r="GU79" s="17"/>
      <c r="GV79" s="17"/>
      <c r="GW79" s="17"/>
      <c r="GX79" s="17"/>
      <c r="GY79" s="17"/>
      <c r="GZ79" s="17"/>
      <c r="HA79" s="17"/>
      <c r="HB79" s="17"/>
      <c r="HC79" s="17"/>
      <c r="HD79" s="17"/>
      <c r="HE79" s="17"/>
      <c r="HF79" s="17"/>
      <c r="HG79" s="17"/>
      <c r="HH79" s="17"/>
      <c r="HI79" s="17"/>
      <c r="HJ79" s="17"/>
      <c r="HK79" s="17"/>
      <c r="HL79" s="17"/>
      <c r="HM79" s="17"/>
      <c r="HN79" s="17"/>
      <c r="HO79" s="17"/>
      <c r="HP79" s="17"/>
      <c r="HQ79" s="17"/>
      <c r="HR79" s="17"/>
      <c r="HS79" s="17"/>
      <c r="HT79" s="17"/>
      <c r="HU79" s="17"/>
      <c r="HV79" s="17"/>
      <c r="HW79" s="17"/>
      <c r="HX79" s="17"/>
      <c r="HY79" s="17"/>
      <c r="HZ79" s="17"/>
      <c r="IA79" s="17"/>
      <c r="IB79" s="17"/>
      <c r="IC79" s="17"/>
      <c r="ID79" s="17"/>
      <c r="IE79" s="17"/>
      <c r="IF79" s="17"/>
      <c r="IG79" s="17"/>
      <c r="IH79" s="17"/>
      <c r="II79" s="17"/>
      <c r="IJ79" s="17"/>
      <c r="IK79" s="17"/>
      <c r="IL79" s="17"/>
      <c r="IM79" s="17"/>
      <c r="IN79" s="17"/>
      <c r="IO79" s="17"/>
      <c r="IP79" s="17"/>
      <c r="IQ79" s="17"/>
      <c r="IR79" s="17"/>
      <c r="IS79" s="17"/>
      <c r="IT79" s="17"/>
      <c r="IU79" s="17"/>
      <c r="IV79" s="17"/>
    </row>
    <row r="80" spans="1:256" x14ac:dyDescent="0.25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  <c r="AY80" s="17"/>
      <c r="AZ80" s="17"/>
      <c r="BA80" s="17"/>
      <c r="BB80" s="17"/>
      <c r="BC80" s="17"/>
      <c r="BD80" s="17"/>
      <c r="BE80" s="17"/>
      <c r="BF80" s="17"/>
      <c r="BG80" s="17"/>
      <c r="BH80" s="17"/>
      <c r="BI80" s="17"/>
      <c r="BJ80" s="17"/>
      <c r="BK80" s="17"/>
      <c r="BL80" s="17"/>
      <c r="BM80" s="17"/>
      <c r="BN80" s="17"/>
      <c r="BO80" s="17"/>
      <c r="BP80" s="17"/>
      <c r="BQ80" s="17"/>
      <c r="BR80" s="17"/>
      <c r="BS80" s="17"/>
      <c r="BT80" s="17"/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7"/>
      <c r="DD80" s="17"/>
      <c r="DE80" s="17"/>
      <c r="DF80" s="17"/>
      <c r="DG80" s="17"/>
      <c r="DH80" s="17"/>
      <c r="DI80" s="17"/>
      <c r="DJ80" s="17"/>
      <c r="DK80" s="17"/>
      <c r="DL80" s="17"/>
      <c r="DM80" s="17"/>
      <c r="DN80" s="17"/>
      <c r="DO80" s="17"/>
      <c r="DP80" s="17"/>
      <c r="DQ80" s="17"/>
      <c r="DR80" s="17"/>
      <c r="DS80" s="17"/>
      <c r="DT80" s="17"/>
      <c r="DU80" s="17"/>
      <c r="DV80" s="17"/>
      <c r="DW80" s="17"/>
      <c r="DX80" s="17"/>
      <c r="DY80" s="17"/>
      <c r="DZ80" s="17"/>
      <c r="EA80" s="17"/>
      <c r="EB80" s="17"/>
      <c r="EC80" s="17"/>
      <c r="ED80" s="17"/>
      <c r="EE80" s="17"/>
      <c r="EF80" s="17"/>
      <c r="EG80" s="17"/>
      <c r="EH80" s="17"/>
      <c r="EI80" s="17"/>
      <c r="EJ80" s="17"/>
      <c r="EK80" s="17"/>
      <c r="EL80" s="17"/>
      <c r="EM80" s="17"/>
      <c r="EN80" s="17"/>
      <c r="EO80" s="17"/>
      <c r="EP80" s="17"/>
      <c r="EQ80" s="17"/>
      <c r="ER80" s="17"/>
      <c r="ES80" s="17"/>
      <c r="ET80" s="17"/>
      <c r="EU80" s="17"/>
      <c r="EV80" s="17"/>
      <c r="EW80" s="17"/>
      <c r="EX80" s="17"/>
      <c r="EY80" s="17"/>
      <c r="EZ80" s="17"/>
      <c r="FA80" s="17"/>
      <c r="FB80" s="17"/>
      <c r="FC80" s="17"/>
      <c r="FD80" s="17"/>
      <c r="FE80" s="17"/>
      <c r="FF80" s="17"/>
      <c r="FG80" s="17"/>
      <c r="FH80" s="17"/>
      <c r="FI80" s="17"/>
      <c r="FJ80" s="17"/>
      <c r="FK80" s="17"/>
      <c r="FL80" s="17"/>
      <c r="FM80" s="17"/>
      <c r="FN80" s="17"/>
      <c r="FO80" s="17"/>
      <c r="FP80" s="17"/>
      <c r="FQ80" s="17"/>
      <c r="FR80" s="17"/>
      <c r="FS80" s="17"/>
      <c r="FT80" s="17"/>
      <c r="FU80" s="17"/>
      <c r="FV80" s="17"/>
      <c r="FW80" s="17"/>
      <c r="FX80" s="17"/>
      <c r="FY80" s="17"/>
      <c r="FZ80" s="17"/>
      <c r="GA80" s="17"/>
      <c r="GB80" s="17"/>
      <c r="GC80" s="17"/>
      <c r="GD80" s="17"/>
      <c r="GE80" s="17"/>
      <c r="GF80" s="17"/>
      <c r="GG80" s="17"/>
      <c r="GH80" s="17"/>
      <c r="GI80" s="17"/>
      <c r="GJ80" s="17"/>
      <c r="GK80" s="17"/>
      <c r="GL80" s="17"/>
      <c r="GM80" s="17"/>
      <c r="GN80" s="17"/>
      <c r="GO80" s="17"/>
      <c r="GP80" s="17"/>
      <c r="GQ80" s="17"/>
      <c r="GR80" s="17"/>
      <c r="GS80" s="17"/>
      <c r="GT80" s="17"/>
      <c r="GU80" s="17"/>
      <c r="GV80" s="17"/>
      <c r="GW80" s="17"/>
      <c r="GX80" s="17"/>
      <c r="GY80" s="17"/>
      <c r="GZ80" s="17"/>
      <c r="HA80" s="17"/>
      <c r="HB80" s="17"/>
      <c r="HC80" s="17"/>
      <c r="HD80" s="17"/>
      <c r="HE80" s="17"/>
      <c r="HF80" s="17"/>
      <c r="HG80" s="17"/>
      <c r="HH80" s="17"/>
      <c r="HI80" s="17"/>
      <c r="HJ80" s="17"/>
      <c r="HK80" s="17"/>
      <c r="HL80" s="17"/>
      <c r="HM80" s="17"/>
      <c r="HN80" s="17"/>
      <c r="HO80" s="17"/>
      <c r="HP80" s="17"/>
      <c r="HQ80" s="17"/>
      <c r="HR80" s="17"/>
      <c r="HS80" s="17"/>
      <c r="HT80" s="17"/>
      <c r="HU80" s="17"/>
      <c r="HV80" s="17"/>
      <c r="HW80" s="17"/>
      <c r="HX80" s="17"/>
      <c r="HY80" s="17"/>
      <c r="HZ80" s="17"/>
      <c r="IA80" s="17"/>
      <c r="IB80" s="17"/>
      <c r="IC80" s="17"/>
      <c r="ID80" s="17"/>
      <c r="IE80" s="17"/>
      <c r="IF80" s="17"/>
      <c r="IG80" s="17"/>
      <c r="IH80" s="17"/>
      <c r="II80" s="17"/>
      <c r="IJ80" s="17"/>
      <c r="IK80" s="17"/>
      <c r="IL80" s="17"/>
      <c r="IM80" s="17"/>
      <c r="IN80" s="17"/>
      <c r="IO80" s="17"/>
      <c r="IP80" s="17"/>
      <c r="IQ80" s="17"/>
      <c r="IR80" s="17"/>
      <c r="IS80" s="17"/>
      <c r="IT80" s="17"/>
      <c r="IU80" s="17"/>
      <c r="IV80" s="17"/>
    </row>
    <row r="81" spans="1:256" x14ac:dyDescent="0.25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  <c r="AY81" s="17"/>
      <c r="AZ81" s="17"/>
      <c r="BA81" s="17"/>
      <c r="BB81" s="17"/>
      <c r="BC81" s="17"/>
      <c r="BD81" s="17"/>
      <c r="BE81" s="17"/>
      <c r="BF81" s="17"/>
      <c r="BG81" s="17"/>
      <c r="BH81" s="17"/>
      <c r="BI81" s="17"/>
      <c r="BJ81" s="17"/>
      <c r="BK81" s="17"/>
      <c r="BL81" s="17"/>
      <c r="BM81" s="17"/>
      <c r="BN81" s="17"/>
      <c r="BO81" s="17"/>
      <c r="BP81" s="17"/>
      <c r="BQ81" s="17"/>
      <c r="BR81" s="17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/>
      <c r="DD81" s="17"/>
      <c r="DE81" s="17"/>
      <c r="DF81" s="17"/>
      <c r="DG81" s="17"/>
      <c r="DH81" s="17"/>
      <c r="DI81" s="17"/>
      <c r="DJ81" s="17"/>
      <c r="DK81" s="17"/>
      <c r="DL81" s="17"/>
      <c r="DM81" s="17"/>
      <c r="DN81" s="17"/>
      <c r="DO81" s="17"/>
      <c r="DP81" s="17"/>
      <c r="DQ81" s="17"/>
      <c r="DR81" s="17"/>
      <c r="DS81" s="17"/>
      <c r="DT81" s="17"/>
      <c r="DU81" s="17"/>
      <c r="DV81" s="17"/>
      <c r="DW81" s="17"/>
      <c r="DX81" s="17"/>
      <c r="DY81" s="17"/>
      <c r="DZ81" s="17"/>
      <c r="EA81" s="17"/>
      <c r="EB81" s="17"/>
      <c r="EC81" s="17"/>
      <c r="ED81" s="17"/>
      <c r="EE81" s="17"/>
      <c r="EF81" s="17"/>
      <c r="EG81" s="17"/>
      <c r="EH81" s="17"/>
      <c r="EI81" s="17"/>
      <c r="EJ81" s="17"/>
      <c r="EK81" s="17"/>
      <c r="EL81" s="17"/>
      <c r="EM81" s="17"/>
      <c r="EN81" s="17"/>
      <c r="EO81" s="17"/>
      <c r="EP81" s="17"/>
      <c r="EQ81" s="17"/>
      <c r="ER81" s="17"/>
      <c r="ES81" s="17"/>
      <c r="ET81" s="17"/>
      <c r="EU81" s="17"/>
      <c r="EV81" s="17"/>
      <c r="EW81" s="17"/>
      <c r="EX81" s="17"/>
      <c r="EY81" s="17"/>
      <c r="EZ81" s="17"/>
      <c r="FA81" s="17"/>
      <c r="FB81" s="17"/>
      <c r="FC81" s="17"/>
      <c r="FD81" s="17"/>
      <c r="FE81" s="17"/>
      <c r="FF81" s="17"/>
      <c r="FG81" s="17"/>
      <c r="FH81" s="17"/>
      <c r="FI81" s="17"/>
      <c r="FJ81" s="17"/>
      <c r="FK81" s="17"/>
      <c r="FL81" s="17"/>
      <c r="FM81" s="17"/>
      <c r="FN81" s="17"/>
      <c r="FO81" s="17"/>
      <c r="FP81" s="17"/>
      <c r="FQ81" s="17"/>
      <c r="FR81" s="17"/>
      <c r="FS81" s="17"/>
      <c r="FT81" s="17"/>
      <c r="FU81" s="17"/>
      <c r="FV81" s="17"/>
      <c r="FW81" s="17"/>
      <c r="FX81" s="17"/>
      <c r="FY81" s="17"/>
      <c r="FZ81" s="17"/>
      <c r="GA81" s="17"/>
      <c r="GB81" s="17"/>
      <c r="GC81" s="17"/>
      <c r="GD81" s="17"/>
      <c r="GE81" s="17"/>
      <c r="GF81" s="17"/>
      <c r="GG81" s="17"/>
      <c r="GH81" s="17"/>
      <c r="GI81" s="17"/>
      <c r="GJ81" s="17"/>
      <c r="GK81" s="17"/>
      <c r="GL81" s="17"/>
      <c r="GM81" s="17"/>
      <c r="GN81" s="17"/>
      <c r="GO81" s="17"/>
      <c r="GP81" s="17"/>
      <c r="GQ81" s="17"/>
      <c r="GR81" s="17"/>
      <c r="GS81" s="17"/>
      <c r="GT81" s="17"/>
      <c r="GU81" s="17"/>
      <c r="GV81" s="17"/>
      <c r="GW81" s="17"/>
      <c r="GX81" s="17"/>
      <c r="GY81" s="17"/>
      <c r="GZ81" s="17"/>
      <c r="HA81" s="17"/>
      <c r="HB81" s="17"/>
      <c r="HC81" s="17"/>
      <c r="HD81" s="17"/>
      <c r="HE81" s="17"/>
      <c r="HF81" s="17"/>
      <c r="HG81" s="17"/>
      <c r="HH81" s="17"/>
      <c r="HI81" s="17"/>
      <c r="HJ81" s="17"/>
      <c r="HK81" s="17"/>
      <c r="HL81" s="17"/>
      <c r="HM81" s="17"/>
      <c r="HN81" s="17"/>
      <c r="HO81" s="17"/>
      <c r="HP81" s="17"/>
      <c r="HQ81" s="17"/>
      <c r="HR81" s="17"/>
      <c r="HS81" s="17"/>
      <c r="HT81" s="17"/>
      <c r="HU81" s="17"/>
      <c r="HV81" s="17"/>
      <c r="HW81" s="17"/>
      <c r="HX81" s="17"/>
      <c r="HY81" s="17"/>
      <c r="HZ81" s="17"/>
      <c r="IA81" s="17"/>
      <c r="IB81" s="17"/>
      <c r="IC81" s="17"/>
      <c r="ID81" s="17"/>
      <c r="IE81" s="17"/>
      <c r="IF81" s="17"/>
      <c r="IG81" s="17"/>
      <c r="IH81" s="17"/>
      <c r="II81" s="17"/>
      <c r="IJ81" s="17"/>
      <c r="IK81" s="17"/>
      <c r="IL81" s="17"/>
      <c r="IM81" s="17"/>
      <c r="IN81" s="17"/>
      <c r="IO81" s="17"/>
      <c r="IP81" s="17"/>
      <c r="IQ81" s="17"/>
      <c r="IR81" s="17"/>
      <c r="IS81" s="17"/>
      <c r="IT81" s="17"/>
      <c r="IU81" s="17"/>
      <c r="IV81" s="17"/>
    </row>
  </sheetData>
  <mergeCells count="409">
    <mergeCell ref="AT38:AV38"/>
    <mergeCell ref="E19:G19"/>
    <mergeCell ref="E20:G20"/>
    <mergeCell ref="A38:D38"/>
    <mergeCell ref="E38:G38"/>
    <mergeCell ref="Z38:AC38"/>
    <mergeCell ref="AD38:AF38"/>
    <mergeCell ref="AL38:AN38"/>
    <mergeCell ref="AH38:AJ38"/>
    <mergeCell ref="AT42:AV42"/>
    <mergeCell ref="AT43:AV43"/>
    <mergeCell ref="AT44:AV44"/>
    <mergeCell ref="AT63:AV63"/>
    <mergeCell ref="A44:D44"/>
    <mergeCell ref="E44:G44"/>
    <mergeCell ref="Z44:AC44"/>
    <mergeCell ref="AD44:AF44"/>
    <mergeCell ref="AL44:AN44"/>
    <mergeCell ref="E51:G51"/>
    <mergeCell ref="E52:G52"/>
    <mergeCell ref="AH42:AJ42"/>
    <mergeCell ref="AH43:AJ43"/>
    <mergeCell ref="AH44:AJ44"/>
    <mergeCell ref="A52:D52"/>
    <mergeCell ref="A51:D51"/>
    <mergeCell ref="A46:D46"/>
    <mergeCell ref="A58:D58"/>
    <mergeCell ref="E58:G58"/>
    <mergeCell ref="AD42:AF42"/>
    <mergeCell ref="AL42:AN42"/>
    <mergeCell ref="A43:D43"/>
    <mergeCell ref="Z43:AC43"/>
    <mergeCell ref="AD43:AF43"/>
    <mergeCell ref="AL43:AN43"/>
    <mergeCell ref="E43:G43"/>
    <mergeCell ref="A63:D63"/>
    <mergeCell ref="E63:G63"/>
    <mergeCell ref="Z63:AC63"/>
    <mergeCell ref="AD63:AF63"/>
    <mergeCell ref="AL63:AN63"/>
    <mergeCell ref="AL69:AN69"/>
    <mergeCell ref="AT69:AV69"/>
    <mergeCell ref="AD69:AF69"/>
    <mergeCell ref="Z69:AC69"/>
    <mergeCell ref="AH69:AJ69"/>
    <mergeCell ref="AL60:AN60"/>
    <mergeCell ref="AT37:AV37"/>
    <mergeCell ref="AL59:AN59"/>
    <mergeCell ref="AT41:AV41"/>
    <mergeCell ref="Z46:AC46"/>
    <mergeCell ref="Z51:AC51"/>
    <mergeCell ref="Z52:AC52"/>
    <mergeCell ref="AH51:AJ51"/>
    <mergeCell ref="AH52:AJ52"/>
    <mergeCell ref="AD53:AF53"/>
    <mergeCell ref="AD46:AF46"/>
    <mergeCell ref="AD51:AF51"/>
    <mergeCell ref="AD52:AF52"/>
    <mergeCell ref="AH46:AJ46"/>
    <mergeCell ref="AT53:AV53"/>
    <mergeCell ref="AT58:AV58"/>
    <mergeCell ref="AT59:AV59"/>
    <mergeCell ref="AH53:AJ53"/>
    <mergeCell ref="AL58:AN58"/>
    <mergeCell ref="AT32:AV32"/>
    <mergeCell ref="AT28:AV28"/>
    <mergeCell ref="AT39:AV39"/>
    <mergeCell ref="AL52:AN52"/>
    <mergeCell ref="AL51:AN51"/>
    <mergeCell ref="AT33:AV33"/>
    <mergeCell ref="AL46:AN46"/>
    <mergeCell ref="AT46:AV46"/>
    <mergeCell ref="AT51:AV51"/>
    <mergeCell ref="AT52:AV52"/>
    <mergeCell ref="AL28:AN28"/>
    <mergeCell ref="AT40:AV40"/>
    <mergeCell ref="AL31:AN31"/>
    <mergeCell ref="AT31:AV31"/>
    <mergeCell ref="AT30:AV30"/>
    <mergeCell ref="AL30:AN30"/>
    <mergeCell ref="AL40:AN40"/>
    <mergeCell ref="AL41:AN41"/>
    <mergeCell ref="AL39:AN39"/>
    <mergeCell ref="AL34:AN34"/>
    <mergeCell ref="AT34:AV34"/>
    <mergeCell ref="AT36:AV36"/>
    <mergeCell ref="AL36:AN36"/>
    <mergeCell ref="AT47:AV47"/>
    <mergeCell ref="AD40:AF40"/>
    <mergeCell ref="AD41:AF41"/>
    <mergeCell ref="A40:D40"/>
    <mergeCell ref="AH40:AJ40"/>
    <mergeCell ref="AH39:AJ39"/>
    <mergeCell ref="AD39:AF39"/>
    <mergeCell ref="AH41:AJ41"/>
    <mergeCell ref="AD31:AF31"/>
    <mergeCell ref="AH31:AJ31"/>
    <mergeCell ref="AD34:AF34"/>
    <mergeCell ref="AH34:AJ34"/>
    <mergeCell ref="AD36:AF36"/>
    <mergeCell ref="AH36:AJ36"/>
    <mergeCell ref="E37:G37"/>
    <mergeCell ref="E39:G39"/>
    <mergeCell ref="E40:G40"/>
    <mergeCell ref="AH37:AJ37"/>
    <mergeCell ref="AD37:AF37"/>
    <mergeCell ref="AH33:AJ33"/>
    <mergeCell ref="AL33:AN33"/>
    <mergeCell ref="A30:D30"/>
    <mergeCell ref="E30:G30"/>
    <mergeCell ref="Z30:AC30"/>
    <mergeCell ref="AD30:AF30"/>
    <mergeCell ref="AH30:AJ30"/>
    <mergeCell ref="A37:D37"/>
    <mergeCell ref="Z37:AC37"/>
    <mergeCell ref="AD27:AF27"/>
    <mergeCell ref="AH27:AJ27"/>
    <mergeCell ref="AH28:AJ28"/>
    <mergeCell ref="AL27:AN27"/>
    <mergeCell ref="AD33:AF33"/>
    <mergeCell ref="AD25:AF25"/>
    <mergeCell ref="E25:G25"/>
    <mergeCell ref="Z28:AC28"/>
    <mergeCell ref="A32:D32"/>
    <mergeCell ref="A28:D28"/>
    <mergeCell ref="E28:G28"/>
    <mergeCell ref="AD28:AF28"/>
    <mergeCell ref="AH32:AJ32"/>
    <mergeCell ref="AD32:AF32"/>
    <mergeCell ref="AL32:AN32"/>
    <mergeCell ref="AR14:AS15"/>
    <mergeCell ref="AT17:AV17"/>
    <mergeCell ref="AT18:AV18"/>
    <mergeCell ref="AD16:AF16"/>
    <mergeCell ref="AL17:AN17"/>
    <mergeCell ref="AL18:AN18"/>
    <mergeCell ref="AH18:AJ18"/>
    <mergeCell ref="AH16:AJ16"/>
    <mergeCell ref="AD23:AF23"/>
    <mergeCell ref="AH19:AJ19"/>
    <mergeCell ref="AL19:AN19"/>
    <mergeCell ref="AT19:AV19"/>
    <mergeCell ref="AT20:AV20"/>
    <mergeCell ref="AH20:AJ20"/>
    <mergeCell ref="AD19:AF19"/>
    <mergeCell ref="AL15:AO15"/>
    <mergeCell ref="AL16:AN16"/>
    <mergeCell ref="AD17:AF17"/>
    <mergeCell ref="AT14:AV16"/>
    <mergeCell ref="AP14:AQ15"/>
    <mergeCell ref="AD18:AF18"/>
    <mergeCell ref="AH17:AJ17"/>
    <mergeCell ref="AD20:AF20"/>
    <mergeCell ref="AL20:AN20"/>
    <mergeCell ref="A1:AV1"/>
    <mergeCell ref="A2:AV2"/>
    <mergeCell ref="A3:AV3"/>
    <mergeCell ref="A4:AV4"/>
    <mergeCell ref="A5:AV5"/>
    <mergeCell ref="AH11:AK11"/>
    <mergeCell ref="AT9:AU9"/>
    <mergeCell ref="AL9:AN9"/>
    <mergeCell ref="AD9:AE9"/>
    <mergeCell ref="C9:AB9"/>
    <mergeCell ref="D8:AK8"/>
    <mergeCell ref="A11:J11"/>
    <mergeCell ref="K11:AD11"/>
    <mergeCell ref="E7:AJ7"/>
    <mergeCell ref="AM7:AO7"/>
    <mergeCell ref="AM8:AN8"/>
    <mergeCell ref="AJ9:AK9"/>
    <mergeCell ref="AF9:AH9"/>
    <mergeCell ref="M15:M16"/>
    <mergeCell ref="I15:J15"/>
    <mergeCell ref="P15:P16"/>
    <mergeCell ref="Z14:AC16"/>
    <mergeCell ref="Q15:Q16"/>
    <mergeCell ref="H14:X14"/>
    <mergeCell ref="AD15:AK15"/>
    <mergeCell ref="X15:X16"/>
    <mergeCell ref="V15:V16"/>
    <mergeCell ref="AD14:AO14"/>
    <mergeCell ref="Y14:Y16"/>
    <mergeCell ref="S15:S16"/>
    <mergeCell ref="T15:T16"/>
    <mergeCell ref="L15:L16"/>
    <mergeCell ref="N15:N16"/>
    <mergeCell ref="U15:U16"/>
    <mergeCell ref="K15:K16"/>
    <mergeCell ref="W15:W16"/>
    <mergeCell ref="Z53:AC53"/>
    <mergeCell ref="A53:D53"/>
    <mergeCell ref="E34:G34"/>
    <mergeCell ref="Z34:AC34"/>
    <mergeCell ref="Z36:AC36"/>
    <mergeCell ref="A47:D47"/>
    <mergeCell ref="D12:Y12"/>
    <mergeCell ref="A17:D17"/>
    <mergeCell ref="E17:G17"/>
    <mergeCell ref="A14:D16"/>
    <mergeCell ref="R15:R16"/>
    <mergeCell ref="O15:O16"/>
    <mergeCell ref="E14:G16"/>
    <mergeCell ref="H15:H16"/>
    <mergeCell ref="Z17:AC17"/>
    <mergeCell ref="A27:D27"/>
    <mergeCell ref="Z27:AC27"/>
    <mergeCell ref="A42:D42"/>
    <mergeCell ref="Z42:AC42"/>
    <mergeCell ref="A31:D31"/>
    <mergeCell ref="E31:G31"/>
    <mergeCell ref="Z31:AC31"/>
    <mergeCell ref="A39:D39"/>
    <mergeCell ref="Z39:AC39"/>
    <mergeCell ref="E32:G32"/>
    <mergeCell ref="Z32:AC32"/>
    <mergeCell ref="A33:D33"/>
    <mergeCell ref="E33:G33"/>
    <mergeCell ref="Z33:AC33"/>
    <mergeCell ref="Z18:AC18"/>
    <mergeCell ref="A18:D18"/>
    <mergeCell ref="Z20:AC20"/>
    <mergeCell ref="A25:D25"/>
    <mergeCell ref="Z25:AC25"/>
    <mergeCell ref="A26:D26"/>
    <mergeCell ref="Z23:AC23"/>
    <mergeCell ref="A24:D24"/>
    <mergeCell ref="E24:G24"/>
    <mergeCell ref="Z24:AC24"/>
    <mergeCell ref="A23:D23"/>
    <mergeCell ref="A19:D19"/>
    <mergeCell ref="Z19:AC19"/>
    <mergeCell ref="A20:D20"/>
    <mergeCell ref="E23:G23"/>
    <mergeCell ref="A60:D60"/>
    <mergeCell ref="Z60:AC60"/>
    <mergeCell ref="AH54:AJ54"/>
    <mergeCell ref="E60:G60"/>
    <mergeCell ref="Z70:AC70"/>
    <mergeCell ref="AD70:AF70"/>
    <mergeCell ref="A70:D70"/>
    <mergeCell ref="E70:G70"/>
    <mergeCell ref="AD58:AF58"/>
    <mergeCell ref="Z58:AC58"/>
    <mergeCell ref="A59:D59"/>
    <mergeCell ref="E59:G59"/>
    <mergeCell ref="AD60:AF60"/>
    <mergeCell ref="AD59:AF59"/>
    <mergeCell ref="E54:G54"/>
    <mergeCell ref="AD54:AF54"/>
    <mergeCell ref="Z59:AC59"/>
    <mergeCell ref="AD67:AF67"/>
    <mergeCell ref="AD64:AF64"/>
    <mergeCell ref="AH67:AJ67"/>
    <mergeCell ref="Z54:AC54"/>
    <mergeCell ref="AH60:AJ60"/>
    <mergeCell ref="AH59:AJ59"/>
    <mergeCell ref="AH58:AJ58"/>
    <mergeCell ref="AS77:AS78"/>
    <mergeCell ref="A62:D62"/>
    <mergeCell ref="E62:G62"/>
    <mergeCell ref="Z62:AC62"/>
    <mergeCell ref="AD62:AF62"/>
    <mergeCell ref="AH62:AJ62"/>
    <mergeCell ref="AT70:AV70"/>
    <mergeCell ref="AH70:AJ70"/>
    <mergeCell ref="AL70:AN70"/>
    <mergeCell ref="A69:D69"/>
    <mergeCell ref="AL62:AN62"/>
    <mergeCell ref="A67:D67"/>
    <mergeCell ref="E67:G67"/>
    <mergeCell ref="Z67:AC67"/>
    <mergeCell ref="A64:D64"/>
    <mergeCell ref="E64:G64"/>
    <mergeCell ref="Z64:AC64"/>
    <mergeCell ref="AT62:AV62"/>
    <mergeCell ref="AH63:AJ63"/>
    <mergeCell ref="Z65:AC65"/>
    <mergeCell ref="AD65:AF65"/>
    <mergeCell ref="AH65:AJ65"/>
    <mergeCell ref="AL65:AN65"/>
    <mergeCell ref="Z66:AC66"/>
    <mergeCell ref="AH68:AJ68"/>
    <mergeCell ref="A61:D61"/>
    <mergeCell ref="E61:G61"/>
    <mergeCell ref="Z61:AC61"/>
    <mergeCell ref="AD61:AF61"/>
    <mergeCell ref="AH61:AJ61"/>
    <mergeCell ref="AL61:AN61"/>
    <mergeCell ref="AT61:AV61"/>
    <mergeCell ref="AL67:AN67"/>
    <mergeCell ref="AT67:AV67"/>
    <mergeCell ref="A68:D68"/>
    <mergeCell ref="E68:G68"/>
    <mergeCell ref="Z68:AC68"/>
    <mergeCell ref="AD68:AF68"/>
    <mergeCell ref="AL68:AN68"/>
    <mergeCell ref="AT68:AV68"/>
    <mergeCell ref="AL64:AN64"/>
    <mergeCell ref="AT64:AV64"/>
    <mergeCell ref="AH64:AJ64"/>
    <mergeCell ref="A29:D29"/>
    <mergeCell ref="Z29:AC29"/>
    <mergeCell ref="AD29:AF29"/>
    <mergeCell ref="AL29:AN29"/>
    <mergeCell ref="AH29:AJ29"/>
    <mergeCell ref="AT29:AV29"/>
    <mergeCell ref="A21:D21"/>
    <mergeCell ref="Z21:AC21"/>
    <mergeCell ref="AD21:AF21"/>
    <mergeCell ref="AH21:AJ21"/>
    <mergeCell ref="AL21:AN21"/>
    <mergeCell ref="AT21:AV21"/>
    <mergeCell ref="AH23:AJ23"/>
    <mergeCell ref="AT24:AV24"/>
    <mergeCell ref="AD24:AF24"/>
    <mergeCell ref="AT25:AV25"/>
    <mergeCell ref="E27:G27"/>
    <mergeCell ref="E26:G26"/>
    <mergeCell ref="Z26:AC26"/>
    <mergeCell ref="AT23:AV23"/>
    <mergeCell ref="AH25:AJ25"/>
    <mergeCell ref="AH26:AJ26"/>
    <mergeCell ref="AD26:AF26"/>
    <mergeCell ref="AL25:AN25"/>
    <mergeCell ref="A35:D35"/>
    <mergeCell ref="Z35:AC35"/>
    <mergeCell ref="AD35:AF35"/>
    <mergeCell ref="AH35:AJ35"/>
    <mergeCell ref="AL35:AN35"/>
    <mergeCell ref="Z57:AC57"/>
    <mergeCell ref="AD57:AF57"/>
    <mergeCell ref="AL57:AN57"/>
    <mergeCell ref="A56:D56"/>
    <mergeCell ref="E56:G56"/>
    <mergeCell ref="Z56:AC56"/>
    <mergeCell ref="AD56:AF56"/>
    <mergeCell ref="AL56:AN56"/>
    <mergeCell ref="AH56:AJ56"/>
    <mergeCell ref="AH57:AJ57"/>
    <mergeCell ref="AL53:AN53"/>
    <mergeCell ref="AL54:AN54"/>
    <mergeCell ref="A57:D57"/>
    <mergeCell ref="A54:D54"/>
    <mergeCell ref="A41:D41"/>
    <mergeCell ref="Z41:AC41"/>
    <mergeCell ref="E53:G53"/>
    <mergeCell ref="Z40:AC40"/>
    <mergeCell ref="E41:G41"/>
    <mergeCell ref="A45:D45"/>
    <mergeCell ref="E45:G45"/>
    <mergeCell ref="Z45:AC45"/>
    <mergeCell ref="AD45:AF45"/>
    <mergeCell ref="AL45:AN45"/>
    <mergeCell ref="AH45:AJ45"/>
    <mergeCell ref="AH47:AJ47"/>
    <mergeCell ref="AH49:AJ49"/>
    <mergeCell ref="E47:G47"/>
    <mergeCell ref="Z47:AC47"/>
    <mergeCell ref="AD47:AF47"/>
    <mergeCell ref="AL47:AN47"/>
    <mergeCell ref="AD66:AF66"/>
    <mergeCell ref="AL66:AN66"/>
    <mergeCell ref="A22:D22"/>
    <mergeCell ref="Z22:AC22"/>
    <mergeCell ref="AD22:AF22"/>
    <mergeCell ref="AL22:AN22"/>
    <mergeCell ref="A55:D55"/>
    <mergeCell ref="Z55:AC55"/>
    <mergeCell ref="AD55:AF55"/>
    <mergeCell ref="AH22:AJ22"/>
    <mergeCell ref="AL55:AN55"/>
    <mergeCell ref="A50:D50"/>
    <mergeCell ref="Z50:AC50"/>
    <mergeCell ref="AD50:AF50"/>
    <mergeCell ref="AL50:AN50"/>
    <mergeCell ref="A48:D48"/>
    <mergeCell ref="E48:G48"/>
    <mergeCell ref="Z48:AC48"/>
    <mergeCell ref="AD48:AF48"/>
    <mergeCell ref="AL48:AN48"/>
    <mergeCell ref="A49:D49"/>
    <mergeCell ref="Z49:AC49"/>
    <mergeCell ref="AD49:AF49"/>
    <mergeCell ref="AL49:AN49"/>
    <mergeCell ref="AT45:AV45"/>
    <mergeCell ref="AT35:AV35"/>
    <mergeCell ref="AT22:AV22"/>
    <mergeCell ref="AT65:AV65"/>
    <mergeCell ref="AT66:AV66"/>
    <mergeCell ref="AH66:AJ66"/>
    <mergeCell ref="AH55:AJ55"/>
    <mergeCell ref="AH50:AJ50"/>
    <mergeCell ref="AH48:AJ48"/>
    <mergeCell ref="AT55:AV55"/>
    <mergeCell ref="AT50:AV50"/>
    <mergeCell ref="AT49:AV49"/>
    <mergeCell ref="AT48:AV48"/>
    <mergeCell ref="AT56:AV56"/>
    <mergeCell ref="AT57:AV57"/>
    <mergeCell ref="AT60:AV60"/>
    <mergeCell ref="AT54:AV54"/>
    <mergeCell ref="AT26:AV26"/>
    <mergeCell ref="AL24:AN24"/>
    <mergeCell ref="AH24:AJ24"/>
    <mergeCell ref="AT27:AV27"/>
    <mergeCell ref="AL23:AN23"/>
    <mergeCell ref="AL26:AN26"/>
    <mergeCell ref="AL37:AN37"/>
  </mergeCells>
  <dataValidations count="2">
    <dataValidation type="list" allowBlank="1" showInputMessage="1" showErrorMessage="1" sqref="AL9:AL12 AM10:AN12" xr:uid="{00000000-0002-0000-0000-000000000000}">
      <formula1>trimestre</formula1>
    </dataValidation>
    <dataValidation type="list" allowBlank="1" showInputMessage="1" showErrorMessage="1" sqref="Y17:Y70" xr:uid="{00000000-0002-0000-0000-000001000000}">
      <formula1>unidade</formula1>
    </dataValidation>
  </dataValidations>
  <hyperlinks>
    <hyperlink ref="C9" r:id="rId1" xr:uid="{00000000-0004-0000-0000-000000000000}"/>
  </hyperlinks>
  <pageMargins left="0.59027777777777779" right="0.59027777777777779" top="0.78680555555555554" bottom="0.39305555555555555" header="0.51111111111111107" footer="0.51111111111111107"/>
  <pageSetup paperSize="9" scale="36" orientation="landscape" horizontalDpi="4294967295" verticalDpi="4294967295" r:id="rId2"/>
  <headerFooter alignWithMargins="0"/>
  <colBreaks count="1" manualBreakCount="1">
    <brk id="33" max="1048575" man="1"/>
  </colBreaks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L14"/>
  <sheetViews>
    <sheetView workbookViewId="0">
      <selection activeCell="N15" sqref="N15"/>
    </sheetView>
  </sheetViews>
  <sheetFormatPr defaultColWidth="9" defaultRowHeight="13.5" x14ac:dyDescent="0.25"/>
  <sheetData>
    <row r="2" spans="2:12" x14ac:dyDescent="0.25">
      <c r="B2" s="2" t="s">
        <v>62</v>
      </c>
      <c r="C2" s="13"/>
      <c r="D2" s="13"/>
      <c r="E2" s="2" t="s">
        <v>63</v>
      </c>
      <c r="F2" s="13"/>
      <c r="G2" s="13" t="s">
        <v>64</v>
      </c>
      <c r="H2" s="13"/>
      <c r="I2" s="13" t="s">
        <v>65</v>
      </c>
      <c r="J2" s="13"/>
      <c r="K2" s="13"/>
      <c r="L2" s="13" t="s">
        <v>65</v>
      </c>
    </row>
    <row r="4" spans="2:12" x14ac:dyDescent="0.25">
      <c r="B4" s="1" t="s">
        <v>66</v>
      </c>
      <c r="C4" s="13"/>
      <c r="D4" s="13"/>
      <c r="E4" s="13" t="s">
        <v>60</v>
      </c>
      <c r="F4" s="13"/>
      <c r="G4" s="13" t="s">
        <v>67</v>
      </c>
      <c r="H4" s="13"/>
      <c r="I4" s="13" t="s">
        <v>68</v>
      </c>
      <c r="J4" s="13"/>
      <c r="K4" s="13"/>
      <c r="L4" s="13" t="s">
        <v>68</v>
      </c>
    </row>
    <row r="5" spans="2:12" x14ac:dyDescent="0.25">
      <c r="B5" s="13" t="s">
        <v>69</v>
      </c>
      <c r="C5" s="13"/>
      <c r="D5" s="13"/>
      <c r="E5" s="13" t="s">
        <v>70</v>
      </c>
      <c r="F5" s="13"/>
      <c r="G5" s="13" t="s">
        <v>18</v>
      </c>
      <c r="H5" s="13"/>
      <c r="I5" s="13" t="s">
        <v>71</v>
      </c>
      <c r="J5" s="13"/>
      <c r="K5" s="13"/>
      <c r="L5" s="13" t="s">
        <v>72</v>
      </c>
    </row>
    <row r="6" spans="2:12" x14ac:dyDescent="0.25">
      <c r="B6" s="13" t="s">
        <v>73</v>
      </c>
      <c r="C6" s="13"/>
      <c r="D6" s="13"/>
      <c r="E6" s="13"/>
      <c r="F6" s="13"/>
      <c r="G6" s="13" t="s">
        <v>74</v>
      </c>
      <c r="H6" s="13"/>
      <c r="I6" s="13" t="s">
        <v>75</v>
      </c>
      <c r="J6" s="13"/>
      <c r="K6" s="13"/>
      <c r="L6" s="13"/>
    </row>
    <row r="7" spans="2:12" x14ac:dyDescent="0.25">
      <c r="B7" s="13" t="s">
        <v>76</v>
      </c>
      <c r="C7" s="13"/>
      <c r="D7" s="13"/>
      <c r="E7" s="13"/>
      <c r="F7" s="13"/>
      <c r="G7" s="13" t="s">
        <v>77</v>
      </c>
      <c r="H7" s="13"/>
      <c r="I7" s="13" t="s">
        <v>78</v>
      </c>
      <c r="J7" s="13"/>
      <c r="K7" s="13"/>
      <c r="L7" s="13"/>
    </row>
    <row r="8" spans="2:12" x14ac:dyDescent="0.25">
      <c r="B8" s="1" t="s">
        <v>79</v>
      </c>
      <c r="C8" s="13"/>
      <c r="D8" s="13"/>
      <c r="E8" s="13"/>
      <c r="F8" s="13"/>
      <c r="G8" s="13"/>
      <c r="H8" s="13"/>
      <c r="I8" s="13" t="s">
        <v>72</v>
      </c>
      <c r="J8" s="13"/>
      <c r="K8" s="13"/>
      <c r="L8" s="13"/>
    </row>
    <row r="9" spans="2:12" x14ac:dyDescent="0.25">
      <c r="B9" s="13" t="s">
        <v>80</v>
      </c>
      <c r="C9" s="13"/>
      <c r="D9" s="13"/>
      <c r="E9" s="13"/>
      <c r="F9" s="13"/>
      <c r="G9" s="13"/>
      <c r="H9" s="13"/>
      <c r="I9" s="13"/>
      <c r="J9" s="13"/>
      <c r="K9" s="13"/>
      <c r="L9" s="13"/>
    </row>
    <row r="10" spans="2:12" x14ac:dyDescent="0.25">
      <c r="B10" s="13" t="s">
        <v>81</v>
      </c>
      <c r="C10" s="13"/>
      <c r="D10" s="13"/>
      <c r="E10" s="13"/>
      <c r="F10" s="13"/>
      <c r="G10" s="13"/>
      <c r="H10" s="13"/>
      <c r="I10" s="13"/>
      <c r="J10" s="13"/>
      <c r="K10" s="13"/>
      <c r="L10" s="13"/>
    </row>
    <row r="11" spans="2:12" x14ac:dyDescent="0.25">
      <c r="B11" s="13" t="s">
        <v>82</v>
      </c>
      <c r="C11" s="13"/>
      <c r="D11" s="13"/>
      <c r="E11" s="13"/>
      <c r="F11" s="13"/>
      <c r="G11" s="13"/>
      <c r="H11" s="13"/>
      <c r="I11" s="13"/>
      <c r="J11" s="13"/>
      <c r="K11" s="13"/>
      <c r="L11" s="13"/>
    </row>
    <row r="12" spans="2:12" x14ac:dyDescent="0.25">
      <c r="B12" s="13" t="s">
        <v>83</v>
      </c>
      <c r="C12" s="13"/>
      <c r="D12" s="13"/>
      <c r="E12" s="13"/>
      <c r="F12" s="13"/>
      <c r="G12" s="13"/>
      <c r="H12" s="13"/>
      <c r="I12" s="13"/>
      <c r="J12" s="13"/>
      <c r="K12" s="13"/>
      <c r="L12" s="13"/>
    </row>
    <row r="13" spans="2:12" x14ac:dyDescent="0.25">
      <c r="B13" s="13" t="s">
        <v>84</v>
      </c>
      <c r="C13" s="13"/>
      <c r="D13" s="13"/>
      <c r="E13" s="13"/>
      <c r="F13" s="13"/>
      <c r="G13" s="13"/>
      <c r="H13" s="13"/>
      <c r="I13" s="13"/>
      <c r="J13" s="13"/>
      <c r="K13" s="13"/>
      <c r="L13" s="13"/>
    </row>
    <row r="14" spans="2:12" x14ac:dyDescent="0.25">
      <c r="B14" s="13" t="s">
        <v>85</v>
      </c>
      <c r="C14" s="13"/>
      <c r="D14" s="13"/>
      <c r="E14" s="13"/>
      <c r="F14" s="13"/>
      <c r="G14" s="13"/>
      <c r="H14" s="13"/>
      <c r="I14" s="13"/>
      <c r="J14" s="13"/>
      <c r="K14" s="13"/>
      <c r="L14" s="13"/>
    </row>
  </sheetData>
  <pageMargins left="0.78680555555555554" right="0.78680555555555554" top="0.98402777777777772" bottom="0.98402777777777772" header="0.49166666666666664" footer="0.49166666666666664"/>
  <pageSetup paperSize="9" orientation="portrait" horizontalDpi="30066" verticalDpi="26478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6</vt:i4>
      </vt:variant>
    </vt:vector>
  </HeadingPairs>
  <TitlesOfParts>
    <vt:vector size="8" baseType="lpstr">
      <vt:lpstr>Fert. Min. (Mat.prima)</vt:lpstr>
      <vt:lpstr>banco</vt:lpstr>
      <vt:lpstr>'Fert. Min. (Mat.prima)'!Area_de_impressao</vt:lpstr>
      <vt:lpstr>destino_rev</vt:lpstr>
      <vt:lpstr>Devol</vt:lpstr>
      <vt:lpstr>tipo</vt:lpstr>
      <vt:lpstr>trimestre</vt:lpstr>
      <vt:lpstr>unidade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nanshiu.maezoe</dc:creator>
  <cp:keywords/>
  <dc:description/>
  <cp:lastModifiedBy>Rodrigo Segala</cp:lastModifiedBy>
  <cp:revision/>
  <cp:lastPrinted>2022-11-01T18:26:54Z</cp:lastPrinted>
  <dcterms:created xsi:type="dcterms:W3CDTF">2016-07-20T08:43:55Z</dcterms:created>
  <dcterms:modified xsi:type="dcterms:W3CDTF">2025-10-31T13:30:44Z</dcterms:modified>
  <cp:category/>
  <cp:contentStatus/>
</cp:coreProperties>
</file>